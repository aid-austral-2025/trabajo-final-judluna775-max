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prod-my.sharepoint.com/personal/judithluna_cofcointernational_com/Documents/Escritorio/"/>
    </mc:Choice>
  </mc:AlternateContent>
  <xr:revisionPtr revIDLastSave="10" documentId="8_{840A3D97-85C7-4594-8ED1-0084A8FA0FA0}" xr6:coauthVersionLast="47" xr6:coauthVersionMax="47" xr10:uidLastSave="{57C1891B-3BEE-4188-9DCE-BC747786555F}"/>
  <bookViews>
    <workbookView xWindow="28680" yWindow="-120" windowWidth="29040" windowHeight="15720" xr2:uid="{A6495ADB-74DC-4191-B98B-2F2F32DFA431}"/>
  </bookViews>
  <sheets>
    <sheet name="Toneladas" sheetId="1" r:id="rId1"/>
  </sheets>
  <externalReferences>
    <externalReference r:id="rId2"/>
  </externalReferences>
  <definedNames>
    <definedName name="_xlnm._FilterDatabase" localSheetId="0" hidden="1">Toneladas!$C$5:$BK$113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1" i="1" l="1"/>
  <c r="E111" i="1"/>
  <c r="D118" i="1"/>
  <c r="E118" i="1" s="1"/>
  <c r="O225" i="1"/>
  <c r="P225" i="1" s="1"/>
  <c r="M225" i="1"/>
  <c r="N225" i="1" s="1"/>
  <c r="J225" i="1"/>
  <c r="K225" i="1" s="1"/>
  <c r="H225" i="1"/>
  <c r="I225" i="1" s="1"/>
  <c r="F225" i="1"/>
  <c r="G225" i="1" s="1"/>
  <c r="D225" i="1"/>
  <c r="E225" i="1" s="1"/>
  <c r="A225" i="1"/>
  <c r="O224" i="1"/>
  <c r="P224" i="1" s="1"/>
  <c r="M224" i="1"/>
  <c r="N224" i="1" s="1"/>
  <c r="J224" i="1"/>
  <c r="K224" i="1" s="1"/>
  <c r="I224" i="1"/>
  <c r="H224" i="1"/>
  <c r="F224" i="1"/>
  <c r="G224" i="1" s="1"/>
  <c r="E224" i="1"/>
  <c r="D224" i="1"/>
  <c r="A224" i="1"/>
  <c r="O223" i="1"/>
  <c r="P223" i="1" s="1"/>
  <c r="M223" i="1"/>
  <c r="N223" i="1" s="1"/>
  <c r="A223" i="1"/>
  <c r="O222" i="1"/>
  <c r="P222" i="1" s="1"/>
  <c r="M222" i="1"/>
  <c r="N222" i="1" s="1"/>
  <c r="K222" i="1"/>
  <c r="J222" i="1"/>
  <c r="H222" i="1"/>
  <c r="I222" i="1" s="1"/>
  <c r="F222" i="1"/>
  <c r="G222" i="1" s="1"/>
  <c r="D222" i="1"/>
  <c r="E222" i="1" s="1"/>
  <c r="A222" i="1"/>
  <c r="O221" i="1"/>
  <c r="P221" i="1" s="1"/>
  <c r="N221" i="1"/>
  <c r="M221" i="1"/>
  <c r="J221" i="1"/>
  <c r="K221" i="1" s="1"/>
  <c r="H221" i="1"/>
  <c r="I221" i="1" s="1"/>
  <c r="F221" i="1"/>
  <c r="G221" i="1" s="1"/>
  <c r="E221" i="1"/>
  <c r="D221" i="1"/>
  <c r="A221" i="1"/>
  <c r="O220" i="1"/>
  <c r="P220" i="1" s="1"/>
  <c r="M220" i="1"/>
  <c r="N220" i="1" s="1"/>
  <c r="J220" i="1"/>
  <c r="K220" i="1" s="1"/>
  <c r="H220" i="1"/>
  <c r="I220" i="1" s="1"/>
  <c r="F220" i="1"/>
  <c r="G220" i="1" s="1"/>
  <c r="E220" i="1"/>
  <c r="D220" i="1"/>
  <c r="A220" i="1"/>
  <c r="O219" i="1"/>
  <c r="P219" i="1" s="1"/>
  <c r="M219" i="1"/>
  <c r="N219" i="1" s="1"/>
  <c r="J219" i="1"/>
  <c r="K219" i="1" s="1"/>
  <c r="I219" i="1"/>
  <c r="H219" i="1"/>
  <c r="F219" i="1"/>
  <c r="G219" i="1" s="1"/>
  <c r="E219" i="1"/>
  <c r="D219" i="1"/>
  <c r="A219" i="1"/>
  <c r="P218" i="1"/>
  <c r="O218" i="1"/>
  <c r="M218" i="1"/>
  <c r="N218" i="1" s="1"/>
  <c r="J218" i="1"/>
  <c r="K218" i="1" s="1"/>
  <c r="H218" i="1"/>
  <c r="I218" i="1" s="1"/>
  <c r="G218" i="1"/>
  <c r="F218" i="1"/>
  <c r="D218" i="1"/>
  <c r="E218" i="1" s="1"/>
  <c r="A218" i="1"/>
  <c r="O217" i="1"/>
  <c r="P217" i="1" s="1"/>
  <c r="M217" i="1"/>
  <c r="N217" i="1" s="1"/>
  <c r="J217" i="1"/>
  <c r="K217" i="1" s="1"/>
  <c r="H217" i="1"/>
  <c r="I217" i="1" s="1"/>
  <c r="G217" i="1"/>
  <c r="F217" i="1"/>
  <c r="D217" i="1"/>
  <c r="E217" i="1" s="1"/>
  <c r="A217" i="1"/>
  <c r="O216" i="1"/>
  <c r="P216" i="1" s="1"/>
  <c r="M216" i="1"/>
  <c r="N216" i="1" s="1"/>
  <c r="J216" i="1"/>
  <c r="K216" i="1" s="1"/>
  <c r="H216" i="1"/>
  <c r="I216" i="1" s="1"/>
  <c r="F216" i="1"/>
  <c r="G216" i="1" s="1"/>
  <c r="D216" i="1"/>
  <c r="E216" i="1" s="1"/>
  <c r="A216" i="1"/>
  <c r="O215" i="1"/>
  <c r="P215" i="1" s="1"/>
  <c r="N215" i="1"/>
  <c r="M215" i="1"/>
  <c r="J215" i="1"/>
  <c r="K215" i="1" s="1"/>
  <c r="H215" i="1"/>
  <c r="I215" i="1" s="1"/>
  <c r="F215" i="1"/>
  <c r="G215" i="1" s="1"/>
  <c r="D215" i="1"/>
  <c r="E215" i="1" s="1"/>
  <c r="A215" i="1"/>
  <c r="O214" i="1"/>
  <c r="P214" i="1" s="1"/>
  <c r="M214" i="1"/>
  <c r="N214" i="1" s="1"/>
  <c r="J214" i="1"/>
  <c r="K214" i="1" s="1"/>
  <c r="H214" i="1"/>
  <c r="I214" i="1" s="1"/>
  <c r="F214" i="1"/>
  <c r="G214" i="1" s="1"/>
  <c r="D214" i="1"/>
  <c r="E214" i="1" s="1"/>
  <c r="A214" i="1"/>
  <c r="O213" i="1"/>
  <c r="P213" i="1" s="1"/>
  <c r="M213" i="1"/>
  <c r="N213" i="1" s="1"/>
  <c r="J213" i="1"/>
  <c r="K213" i="1" s="1"/>
  <c r="H213" i="1"/>
  <c r="I213" i="1" s="1"/>
  <c r="F213" i="1"/>
  <c r="G213" i="1" s="1"/>
  <c r="E213" i="1"/>
  <c r="D213" i="1"/>
  <c r="A213" i="1"/>
  <c r="O212" i="1"/>
  <c r="P212" i="1" s="1"/>
  <c r="M212" i="1"/>
  <c r="N212" i="1" s="1"/>
  <c r="J212" i="1"/>
  <c r="K212" i="1" s="1"/>
  <c r="H212" i="1"/>
  <c r="I212" i="1" s="1"/>
  <c r="F212" i="1"/>
  <c r="G212" i="1" s="1"/>
  <c r="D212" i="1"/>
  <c r="E212" i="1" s="1"/>
  <c r="A212" i="1"/>
  <c r="O211" i="1"/>
  <c r="P211" i="1" s="1"/>
  <c r="M211" i="1"/>
  <c r="N211" i="1" s="1"/>
  <c r="A211" i="1"/>
  <c r="O210" i="1"/>
  <c r="P210" i="1" s="1"/>
  <c r="M210" i="1"/>
  <c r="N210" i="1" s="1"/>
  <c r="J210" i="1"/>
  <c r="K210" i="1" s="1"/>
  <c r="H210" i="1"/>
  <c r="I210" i="1" s="1"/>
  <c r="F210" i="1"/>
  <c r="G210" i="1" s="1"/>
  <c r="D210" i="1"/>
  <c r="E210" i="1" s="1"/>
  <c r="A210" i="1"/>
  <c r="P209" i="1"/>
  <c r="O209" i="1"/>
  <c r="M209" i="1"/>
  <c r="N209" i="1" s="1"/>
  <c r="K209" i="1"/>
  <c r="J209" i="1"/>
  <c r="H209" i="1"/>
  <c r="I209" i="1" s="1"/>
  <c r="F209" i="1"/>
  <c r="G209" i="1" s="1"/>
  <c r="D209" i="1"/>
  <c r="E209" i="1" s="1"/>
  <c r="A209" i="1"/>
  <c r="O208" i="1"/>
  <c r="P208" i="1" s="1"/>
  <c r="M208" i="1"/>
  <c r="N208" i="1" s="1"/>
  <c r="J208" i="1"/>
  <c r="K208" i="1" s="1"/>
  <c r="I208" i="1"/>
  <c r="H208" i="1"/>
  <c r="F208" i="1"/>
  <c r="G208" i="1" s="1"/>
  <c r="D208" i="1"/>
  <c r="E208" i="1" s="1"/>
  <c r="A208" i="1"/>
  <c r="O207" i="1"/>
  <c r="P207" i="1" s="1"/>
  <c r="M207" i="1"/>
  <c r="N207" i="1" s="1"/>
  <c r="K207" i="1"/>
  <c r="J207" i="1"/>
  <c r="I207" i="1"/>
  <c r="H207" i="1"/>
  <c r="F207" i="1"/>
  <c r="G207" i="1" s="1"/>
  <c r="E207" i="1"/>
  <c r="D207" i="1"/>
  <c r="A207" i="1"/>
  <c r="O206" i="1"/>
  <c r="P206" i="1" s="1"/>
  <c r="M206" i="1"/>
  <c r="N206" i="1" s="1"/>
  <c r="K206" i="1"/>
  <c r="J206" i="1"/>
  <c r="H206" i="1"/>
  <c r="I206" i="1" s="1"/>
  <c r="F206" i="1"/>
  <c r="G206" i="1" s="1"/>
  <c r="D206" i="1"/>
  <c r="E206" i="1" s="1"/>
  <c r="A206" i="1"/>
  <c r="P205" i="1"/>
  <c r="O205" i="1"/>
  <c r="N205" i="1"/>
  <c r="M205" i="1"/>
  <c r="J205" i="1"/>
  <c r="K205" i="1" s="1"/>
  <c r="H205" i="1"/>
  <c r="I205" i="1" s="1"/>
  <c r="F205" i="1"/>
  <c r="G205" i="1" s="1"/>
  <c r="D205" i="1"/>
  <c r="E205" i="1" s="1"/>
  <c r="A205" i="1"/>
  <c r="O204" i="1"/>
  <c r="P204" i="1" s="1"/>
  <c r="N204" i="1"/>
  <c r="M204" i="1"/>
  <c r="J204" i="1"/>
  <c r="K204" i="1" s="1"/>
  <c r="H204" i="1"/>
  <c r="I204" i="1" s="1"/>
  <c r="F204" i="1"/>
  <c r="G204" i="1" s="1"/>
  <c r="E204" i="1"/>
  <c r="D204" i="1"/>
  <c r="A204" i="1"/>
  <c r="P203" i="1"/>
  <c r="O203" i="1"/>
  <c r="M203" i="1"/>
  <c r="N203" i="1" s="1"/>
  <c r="J203" i="1"/>
  <c r="K203" i="1" s="1"/>
  <c r="I203" i="1"/>
  <c r="H203" i="1"/>
  <c r="F203" i="1"/>
  <c r="G203" i="1" s="1"/>
  <c r="E203" i="1"/>
  <c r="D203" i="1"/>
  <c r="A203" i="1"/>
  <c r="O202" i="1"/>
  <c r="P202" i="1" s="1"/>
  <c r="M202" i="1"/>
  <c r="N202" i="1" s="1"/>
  <c r="J202" i="1"/>
  <c r="K202" i="1" s="1"/>
  <c r="H202" i="1"/>
  <c r="I202" i="1" s="1"/>
  <c r="F202" i="1"/>
  <c r="G202" i="1" s="1"/>
  <c r="D202" i="1"/>
  <c r="E202" i="1" s="1"/>
  <c r="A202" i="1"/>
  <c r="P201" i="1"/>
  <c r="O201" i="1"/>
  <c r="M201" i="1"/>
  <c r="N201" i="1" s="1"/>
  <c r="K201" i="1"/>
  <c r="J201" i="1"/>
  <c r="H201" i="1"/>
  <c r="I201" i="1" s="1"/>
  <c r="F201" i="1"/>
  <c r="G201" i="1" s="1"/>
  <c r="D201" i="1"/>
  <c r="E201" i="1" s="1"/>
  <c r="A201" i="1"/>
  <c r="O200" i="1"/>
  <c r="P200" i="1" s="1"/>
  <c r="M200" i="1"/>
  <c r="N200" i="1" s="1"/>
  <c r="J200" i="1"/>
  <c r="K200" i="1" s="1"/>
  <c r="I200" i="1"/>
  <c r="H200" i="1"/>
  <c r="F200" i="1"/>
  <c r="G200" i="1" s="1"/>
  <c r="D200" i="1"/>
  <c r="E200" i="1" s="1"/>
  <c r="A200" i="1"/>
  <c r="O199" i="1"/>
  <c r="P199" i="1" s="1"/>
  <c r="M199" i="1"/>
  <c r="N199" i="1" s="1"/>
  <c r="A199" i="1"/>
  <c r="O198" i="1"/>
  <c r="P198" i="1" s="1"/>
  <c r="M198" i="1"/>
  <c r="N198" i="1" s="1"/>
  <c r="K198" i="1"/>
  <c r="J198" i="1"/>
  <c r="H198" i="1"/>
  <c r="I198" i="1" s="1"/>
  <c r="F198" i="1"/>
  <c r="G198" i="1" s="1"/>
  <c r="D198" i="1"/>
  <c r="E198" i="1" s="1"/>
  <c r="A198" i="1"/>
  <c r="O197" i="1"/>
  <c r="P197" i="1" s="1"/>
  <c r="N197" i="1"/>
  <c r="M197" i="1"/>
  <c r="K197" i="1"/>
  <c r="J197" i="1"/>
  <c r="H197" i="1"/>
  <c r="I197" i="1" s="1"/>
  <c r="F197" i="1"/>
  <c r="G197" i="1" s="1"/>
  <c r="D197" i="1"/>
  <c r="E197" i="1" s="1"/>
  <c r="A197" i="1"/>
  <c r="O196" i="1"/>
  <c r="P196" i="1" s="1"/>
  <c r="N196" i="1"/>
  <c r="M196" i="1"/>
  <c r="J196" i="1"/>
  <c r="K196" i="1" s="1"/>
  <c r="H196" i="1"/>
  <c r="I196" i="1" s="1"/>
  <c r="F196" i="1"/>
  <c r="G196" i="1" s="1"/>
  <c r="E196" i="1"/>
  <c r="D196" i="1"/>
  <c r="A196" i="1"/>
  <c r="P195" i="1"/>
  <c r="O195" i="1"/>
  <c r="M195" i="1"/>
  <c r="N195" i="1" s="1"/>
  <c r="J195" i="1"/>
  <c r="K195" i="1" s="1"/>
  <c r="I195" i="1"/>
  <c r="H195" i="1"/>
  <c r="F195" i="1"/>
  <c r="G195" i="1" s="1"/>
  <c r="D195" i="1"/>
  <c r="E195" i="1" s="1"/>
  <c r="A195" i="1"/>
  <c r="O194" i="1"/>
  <c r="P194" i="1" s="1"/>
  <c r="M194" i="1"/>
  <c r="N194" i="1" s="1"/>
  <c r="J194" i="1"/>
  <c r="K194" i="1" s="1"/>
  <c r="H194" i="1"/>
  <c r="I194" i="1" s="1"/>
  <c r="F194" i="1"/>
  <c r="G194" i="1" s="1"/>
  <c r="D194" i="1"/>
  <c r="E194" i="1" s="1"/>
  <c r="A194" i="1"/>
  <c r="P193" i="1"/>
  <c r="O193" i="1"/>
  <c r="M193" i="1"/>
  <c r="N193" i="1" s="1"/>
  <c r="K193" i="1"/>
  <c r="J193" i="1"/>
  <c r="H193" i="1"/>
  <c r="I193" i="1" s="1"/>
  <c r="F193" i="1"/>
  <c r="G193" i="1" s="1"/>
  <c r="D193" i="1"/>
  <c r="E193" i="1" s="1"/>
  <c r="A193" i="1"/>
  <c r="O192" i="1"/>
  <c r="P192" i="1" s="1"/>
  <c r="M192" i="1"/>
  <c r="N192" i="1" s="1"/>
  <c r="J192" i="1"/>
  <c r="K192" i="1" s="1"/>
  <c r="I192" i="1"/>
  <c r="H192" i="1"/>
  <c r="F192" i="1"/>
  <c r="G192" i="1" s="1"/>
  <c r="D192" i="1"/>
  <c r="E192" i="1" s="1"/>
  <c r="A192" i="1"/>
  <c r="O191" i="1"/>
  <c r="P191" i="1" s="1"/>
  <c r="M191" i="1"/>
  <c r="N191" i="1" s="1"/>
  <c r="K191" i="1"/>
  <c r="J191" i="1"/>
  <c r="I191" i="1"/>
  <c r="H191" i="1"/>
  <c r="F191" i="1"/>
  <c r="G191" i="1" s="1"/>
  <c r="E191" i="1"/>
  <c r="D191" i="1"/>
  <c r="A191" i="1"/>
  <c r="O190" i="1"/>
  <c r="P190" i="1" s="1"/>
  <c r="M190" i="1"/>
  <c r="N190" i="1" s="1"/>
  <c r="K190" i="1"/>
  <c r="J190" i="1"/>
  <c r="H190" i="1"/>
  <c r="I190" i="1" s="1"/>
  <c r="F190" i="1"/>
  <c r="G190" i="1" s="1"/>
  <c r="D190" i="1"/>
  <c r="E190" i="1" s="1"/>
  <c r="A190" i="1"/>
  <c r="P189" i="1"/>
  <c r="O189" i="1"/>
  <c r="N189" i="1"/>
  <c r="M189" i="1"/>
  <c r="J189" i="1"/>
  <c r="K189" i="1" s="1"/>
  <c r="H189" i="1"/>
  <c r="I189" i="1" s="1"/>
  <c r="F189" i="1"/>
  <c r="G189" i="1" s="1"/>
  <c r="D189" i="1"/>
  <c r="E189" i="1" s="1"/>
  <c r="A189" i="1"/>
  <c r="O188" i="1"/>
  <c r="P188" i="1" s="1"/>
  <c r="N188" i="1"/>
  <c r="M188" i="1"/>
  <c r="J188" i="1"/>
  <c r="K188" i="1" s="1"/>
  <c r="H188" i="1"/>
  <c r="I188" i="1" s="1"/>
  <c r="F188" i="1"/>
  <c r="G188" i="1" s="1"/>
  <c r="E188" i="1"/>
  <c r="D188" i="1"/>
  <c r="A188" i="1"/>
  <c r="P187" i="1"/>
  <c r="O187" i="1"/>
  <c r="M187" i="1"/>
  <c r="N187" i="1" s="1"/>
  <c r="A187" i="1"/>
  <c r="P186" i="1"/>
  <c r="O186" i="1"/>
  <c r="M186" i="1"/>
  <c r="N186" i="1" s="1"/>
  <c r="J186" i="1"/>
  <c r="K186" i="1" s="1"/>
  <c r="H186" i="1"/>
  <c r="I186" i="1" s="1"/>
  <c r="F186" i="1"/>
  <c r="G186" i="1" s="1"/>
  <c r="D186" i="1"/>
  <c r="E186" i="1" s="1"/>
  <c r="A186" i="1"/>
  <c r="P185" i="1"/>
  <c r="O185" i="1"/>
  <c r="M185" i="1"/>
  <c r="N185" i="1" s="1"/>
  <c r="K185" i="1"/>
  <c r="J185" i="1"/>
  <c r="I185" i="1"/>
  <c r="H185" i="1"/>
  <c r="G185" i="1"/>
  <c r="F185" i="1"/>
  <c r="D185" i="1"/>
  <c r="E185" i="1" s="1"/>
  <c r="A185" i="1"/>
  <c r="O184" i="1"/>
  <c r="P184" i="1" s="1"/>
  <c r="M184" i="1"/>
  <c r="N184" i="1" s="1"/>
  <c r="J184" i="1"/>
  <c r="K184" i="1" s="1"/>
  <c r="H184" i="1"/>
  <c r="I184" i="1" s="1"/>
  <c r="F184" i="1"/>
  <c r="G184" i="1" s="1"/>
  <c r="D184" i="1"/>
  <c r="E184" i="1" s="1"/>
  <c r="A184" i="1"/>
  <c r="O183" i="1"/>
  <c r="P183" i="1" s="1"/>
  <c r="M183" i="1"/>
  <c r="N183" i="1" s="1"/>
  <c r="J183" i="1"/>
  <c r="K183" i="1" s="1"/>
  <c r="I183" i="1"/>
  <c r="H183" i="1"/>
  <c r="F183" i="1"/>
  <c r="G183" i="1" s="1"/>
  <c r="E183" i="1"/>
  <c r="D183" i="1"/>
  <c r="A183" i="1"/>
  <c r="O182" i="1"/>
  <c r="P182" i="1" s="1"/>
  <c r="M182" i="1"/>
  <c r="N182" i="1" s="1"/>
  <c r="K182" i="1"/>
  <c r="J182" i="1"/>
  <c r="H182" i="1"/>
  <c r="I182" i="1" s="1"/>
  <c r="F182" i="1"/>
  <c r="G182" i="1" s="1"/>
  <c r="D182" i="1"/>
  <c r="E182" i="1" s="1"/>
  <c r="A182" i="1"/>
  <c r="O181" i="1"/>
  <c r="P181" i="1" s="1"/>
  <c r="N181" i="1"/>
  <c r="M181" i="1"/>
  <c r="J181" i="1"/>
  <c r="K181" i="1" s="1"/>
  <c r="H181" i="1"/>
  <c r="I181" i="1" s="1"/>
  <c r="G181" i="1"/>
  <c r="F181" i="1"/>
  <c r="E181" i="1"/>
  <c r="D181" i="1"/>
  <c r="A181" i="1"/>
  <c r="O180" i="1"/>
  <c r="P180" i="1" s="1"/>
  <c r="N180" i="1"/>
  <c r="M180" i="1"/>
  <c r="J180" i="1"/>
  <c r="K180" i="1" s="1"/>
  <c r="H180" i="1"/>
  <c r="I180" i="1" s="1"/>
  <c r="F180" i="1"/>
  <c r="G180" i="1" s="1"/>
  <c r="E180" i="1"/>
  <c r="D180" i="1"/>
  <c r="A180" i="1"/>
  <c r="P179" i="1"/>
  <c r="O179" i="1"/>
  <c r="N179" i="1"/>
  <c r="M179" i="1"/>
  <c r="J179" i="1"/>
  <c r="K179" i="1" s="1"/>
  <c r="I179" i="1"/>
  <c r="H179" i="1"/>
  <c r="F179" i="1"/>
  <c r="G179" i="1" s="1"/>
  <c r="D179" i="1"/>
  <c r="E179" i="1" s="1"/>
  <c r="A179" i="1"/>
  <c r="P178" i="1"/>
  <c r="O178" i="1"/>
  <c r="M178" i="1"/>
  <c r="N178" i="1" s="1"/>
  <c r="J178" i="1"/>
  <c r="K178" i="1" s="1"/>
  <c r="H178" i="1"/>
  <c r="I178" i="1" s="1"/>
  <c r="F178" i="1"/>
  <c r="G178" i="1" s="1"/>
  <c r="D178" i="1"/>
  <c r="E178" i="1" s="1"/>
  <c r="A178" i="1"/>
  <c r="O177" i="1"/>
  <c r="P177" i="1" s="1"/>
  <c r="M177" i="1"/>
  <c r="N177" i="1" s="1"/>
  <c r="K177" i="1"/>
  <c r="J177" i="1"/>
  <c r="I177" i="1"/>
  <c r="H177" i="1"/>
  <c r="G177" i="1"/>
  <c r="F177" i="1"/>
  <c r="D177" i="1"/>
  <c r="E177" i="1" s="1"/>
  <c r="A177" i="1"/>
  <c r="O176" i="1"/>
  <c r="P176" i="1" s="1"/>
  <c r="M176" i="1"/>
  <c r="N176" i="1" s="1"/>
  <c r="J176" i="1"/>
  <c r="K176" i="1" s="1"/>
  <c r="H176" i="1"/>
  <c r="I176" i="1" s="1"/>
  <c r="F176" i="1"/>
  <c r="G176" i="1" s="1"/>
  <c r="D176" i="1"/>
  <c r="E176" i="1" s="1"/>
  <c r="A176" i="1"/>
  <c r="O175" i="1"/>
  <c r="P175" i="1" s="1"/>
  <c r="M175" i="1"/>
  <c r="N175" i="1" s="1"/>
  <c r="A175" i="1"/>
  <c r="O174" i="1"/>
  <c r="P174" i="1" s="1"/>
  <c r="M174" i="1"/>
  <c r="N174" i="1" s="1"/>
  <c r="K174" i="1"/>
  <c r="J174" i="1"/>
  <c r="H174" i="1"/>
  <c r="I174" i="1" s="1"/>
  <c r="F174" i="1"/>
  <c r="G174" i="1" s="1"/>
  <c r="D174" i="1"/>
  <c r="E174" i="1" s="1"/>
  <c r="A174" i="1"/>
  <c r="P173" i="1"/>
  <c r="O173" i="1"/>
  <c r="M173" i="1"/>
  <c r="N173" i="1" s="1"/>
  <c r="K173" i="1"/>
  <c r="J173" i="1"/>
  <c r="H173" i="1"/>
  <c r="I173" i="1" s="1"/>
  <c r="F173" i="1"/>
  <c r="G173" i="1" s="1"/>
  <c r="E173" i="1"/>
  <c r="D173" i="1"/>
  <c r="A173" i="1"/>
  <c r="O172" i="1"/>
  <c r="P172" i="1" s="1"/>
  <c r="M172" i="1"/>
  <c r="N172" i="1" s="1"/>
  <c r="J172" i="1"/>
  <c r="K172" i="1" s="1"/>
  <c r="H172" i="1"/>
  <c r="I172" i="1" s="1"/>
  <c r="F172" i="1"/>
  <c r="G172" i="1" s="1"/>
  <c r="D172" i="1"/>
  <c r="E172" i="1" s="1"/>
  <c r="A172" i="1"/>
  <c r="O171" i="1"/>
  <c r="P171" i="1" s="1"/>
  <c r="M171" i="1"/>
  <c r="N171" i="1" s="1"/>
  <c r="J171" i="1"/>
  <c r="K171" i="1" s="1"/>
  <c r="H171" i="1"/>
  <c r="I171" i="1" s="1"/>
  <c r="G171" i="1"/>
  <c r="F171" i="1"/>
  <c r="E171" i="1"/>
  <c r="D171" i="1"/>
  <c r="A171" i="1"/>
  <c r="P170" i="1"/>
  <c r="O170" i="1"/>
  <c r="M170" i="1"/>
  <c r="N170" i="1" s="1"/>
  <c r="J170" i="1"/>
  <c r="K170" i="1" s="1"/>
  <c r="H170" i="1"/>
  <c r="I170" i="1" s="1"/>
  <c r="G170" i="1"/>
  <c r="F170" i="1"/>
  <c r="D170" i="1"/>
  <c r="E170" i="1" s="1"/>
  <c r="A170" i="1"/>
  <c r="O169" i="1"/>
  <c r="P169" i="1" s="1"/>
  <c r="M169" i="1"/>
  <c r="N169" i="1" s="1"/>
  <c r="J169" i="1"/>
  <c r="K169" i="1" s="1"/>
  <c r="H169" i="1"/>
  <c r="I169" i="1" s="1"/>
  <c r="G169" i="1"/>
  <c r="F169" i="1"/>
  <c r="D169" i="1"/>
  <c r="E169" i="1" s="1"/>
  <c r="A169" i="1"/>
  <c r="O168" i="1"/>
  <c r="P168" i="1" s="1"/>
  <c r="M168" i="1"/>
  <c r="N168" i="1" s="1"/>
  <c r="J168" i="1"/>
  <c r="K168" i="1" s="1"/>
  <c r="I168" i="1"/>
  <c r="H168" i="1"/>
  <c r="F168" i="1"/>
  <c r="G168" i="1" s="1"/>
  <c r="D168" i="1"/>
  <c r="E168" i="1" s="1"/>
  <c r="A168" i="1"/>
  <c r="O167" i="1"/>
  <c r="P167" i="1" s="1"/>
  <c r="N167" i="1"/>
  <c r="M167" i="1"/>
  <c r="K167" i="1"/>
  <c r="J167" i="1"/>
  <c r="H167" i="1"/>
  <c r="I167" i="1" s="1"/>
  <c r="F167" i="1"/>
  <c r="G167" i="1" s="1"/>
  <c r="D167" i="1"/>
  <c r="E167" i="1" s="1"/>
  <c r="A167" i="1"/>
  <c r="O166" i="1"/>
  <c r="P166" i="1" s="1"/>
  <c r="M166" i="1"/>
  <c r="N166" i="1" s="1"/>
  <c r="J166" i="1"/>
  <c r="K166" i="1" s="1"/>
  <c r="H166" i="1"/>
  <c r="I166" i="1" s="1"/>
  <c r="F166" i="1"/>
  <c r="G166" i="1" s="1"/>
  <c r="D166" i="1"/>
  <c r="E166" i="1" s="1"/>
  <c r="A166" i="1"/>
  <c r="P165" i="1"/>
  <c r="O165" i="1"/>
  <c r="M165" i="1"/>
  <c r="N165" i="1" s="1"/>
  <c r="K165" i="1"/>
  <c r="J165" i="1"/>
  <c r="H165" i="1"/>
  <c r="I165" i="1" s="1"/>
  <c r="F165" i="1"/>
  <c r="G165" i="1" s="1"/>
  <c r="E165" i="1"/>
  <c r="D165" i="1"/>
  <c r="A165" i="1"/>
  <c r="O164" i="1"/>
  <c r="P164" i="1" s="1"/>
  <c r="M164" i="1"/>
  <c r="N164" i="1" s="1"/>
  <c r="J164" i="1"/>
  <c r="K164" i="1" s="1"/>
  <c r="H164" i="1"/>
  <c r="I164" i="1" s="1"/>
  <c r="F164" i="1"/>
  <c r="G164" i="1" s="1"/>
  <c r="D164" i="1"/>
  <c r="E164" i="1" s="1"/>
  <c r="A164" i="1"/>
  <c r="O163" i="1"/>
  <c r="P163" i="1" s="1"/>
  <c r="M163" i="1"/>
  <c r="N163" i="1" s="1"/>
  <c r="A163" i="1"/>
  <c r="O162" i="1"/>
  <c r="P162" i="1" s="1"/>
  <c r="M162" i="1"/>
  <c r="N162" i="1" s="1"/>
  <c r="J162" i="1"/>
  <c r="K162" i="1" s="1"/>
  <c r="H162" i="1"/>
  <c r="I162" i="1" s="1"/>
  <c r="F162" i="1"/>
  <c r="G162" i="1" s="1"/>
  <c r="D162" i="1"/>
  <c r="E162" i="1" s="1"/>
  <c r="A162" i="1"/>
  <c r="O161" i="1"/>
  <c r="P161" i="1" s="1"/>
  <c r="M161" i="1"/>
  <c r="N161" i="1" s="1"/>
  <c r="K161" i="1"/>
  <c r="J161" i="1"/>
  <c r="I161" i="1"/>
  <c r="H161" i="1"/>
  <c r="F161" i="1"/>
  <c r="G161" i="1" s="1"/>
  <c r="D161" i="1"/>
  <c r="E161" i="1" s="1"/>
  <c r="A161" i="1"/>
  <c r="O160" i="1"/>
  <c r="P160" i="1" s="1"/>
  <c r="M160" i="1"/>
  <c r="N160" i="1" s="1"/>
  <c r="J160" i="1"/>
  <c r="K160" i="1" s="1"/>
  <c r="I160" i="1"/>
  <c r="H160" i="1"/>
  <c r="F160" i="1"/>
  <c r="G160" i="1" s="1"/>
  <c r="D160" i="1"/>
  <c r="E160" i="1" s="1"/>
  <c r="A160" i="1"/>
  <c r="O159" i="1"/>
  <c r="P159" i="1" s="1"/>
  <c r="M159" i="1"/>
  <c r="N159" i="1" s="1"/>
  <c r="K159" i="1"/>
  <c r="J159" i="1"/>
  <c r="H159" i="1"/>
  <c r="I159" i="1" s="1"/>
  <c r="F159" i="1"/>
  <c r="G159" i="1" s="1"/>
  <c r="E159" i="1"/>
  <c r="D159" i="1"/>
  <c r="A159" i="1"/>
  <c r="O158" i="1"/>
  <c r="P158" i="1" s="1"/>
  <c r="M158" i="1"/>
  <c r="N158" i="1" s="1"/>
  <c r="J158" i="1"/>
  <c r="K158" i="1" s="1"/>
  <c r="H158" i="1"/>
  <c r="I158" i="1" s="1"/>
  <c r="F158" i="1"/>
  <c r="G158" i="1" s="1"/>
  <c r="D158" i="1"/>
  <c r="E158" i="1" s="1"/>
  <c r="A158" i="1"/>
  <c r="P157" i="1"/>
  <c r="O157" i="1"/>
  <c r="M157" i="1"/>
  <c r="N157" i="1" s="1"/>
  <c r="J157" i="1"/>
  <c r="K157" i="1" s="1"/>
  <c r="H157" i="1"/>
  <c r="I157" i="1" s="1"/>
  <c r="G157" i="1"/>
  <c r="F157" i="1"/>
  <c r="D157" i="1"/>
  <c r="E157" i="1" s="1"/>
  <c r="A157" i="1"/>
  <c r="O156" i="1"/>
  <c r="P156" i="1" s="1"/>
  <c r="N156" i="1"/>
  <c r="M156" i="1"/>
  <c r="J156" i="1"/>
  <c r="K156" i="1" s="1"/>
  <c r="H156" i="1"/>
  <c r="I156" i="1" s="1"/>
  <c r="F156" i="1"/>
  <c r="G156" i="1" s="1"/>
  <c r="D156" i="1"/>
  <c r="E156" i="1" s="1"/>
  <c r="A156" i="1"/>
  <c r="P155" i="1"/>
  <c r="O155" i="1"/>
  <c r="N155" i="1"/>
  <c r="M155" i="1"/>
  <c r="J155" i="1"/>
  <c r="K155" i="1" s="1"/>
  <c r="H155" i="1"/>
  <c r="I155" i="1" s="1"/>
  <c r="F155" i="1"/>
  <c r="G155" i="1" s="1"/>
  <c r="D155" i="1"/>
  <c r="E155" i="1" s="1"/>
  <c r="A155" i="1"/>
  <c r="O154" i="1"/>
  <c r="P154" i="1" s="1"/>
  <c r="M154" i="1"/>
  <c r="N154" i="1" s="1"/>
  <c r="J154" i="1"/>
  <c r="K154" i="1" s="1"/>
  <c r="H154" i="1"/>
  <c r="I154" i="1" s="1"/>
  <c r="F154" i="1"/>
  <c r="G154" i="1" s="1"/>
  <c r="D154" i="1"/>
  <c r="E154" i="1" s="1"/>
  <c r="A154" i="1"/>
  <c r="O153" i="1"/>
  <c r="P153" i="1" s="1"/>
  <c r="M153" i="1"/>
  <c r="N153" i="1" s="1"/>
  <c r="K153" i="1"/>
  <c r="J153" i="1"/>
  <c r="I153" i="1"/>
  <c r="H153" i="1"/>
  <c r="F153" i="1"/>
  <c r="G153" i="1" s="1"/>
  <c r="D153" i="1"/>
  <c r="E153" i="1" s="1"/>
  <c r="A153" i="1"/>
  <c r="O152" i="1"/>
  <c r="P152" i="1" s="1"/>
  <c r="M152" i="1"/>
  <c r="N152" i="1" s="1"/>
  <c r="K152" i="1"/>
  <c r="J152" i="1"/>
  <c r="H152" i="1"/>
  <c r="I152" i="1" s="1"/>
  <c r="F152" i="1"/>
  <c r="G152" i="1" s="1"/>
  <c r="D152" i="1"/>
  <c r="E152" i="1" s="1"/>
  <c r="A152" i="1"/>
  <c r="O151" i="1"/>
  <c r="P151" i="1" s="1"/>
  <c r="N151" i="1"/>
  <c r="M151" i="1"/>
  <c r="A151" i="1"/>
  <c r="O150" i="1"/>
  <c r="P150" i="1" s="1"/>
  <c r="N150" i="1"/>
  <c r="M150" i="1"/>
  <c r="K150" i="1"/>
  <c r="J150" i="1"/>
  <c r="H150" i="1"/>
  <c r="I150" i="1" s="1"/>
  <c r="F150" i="1"/>
  <c r="G150" i="1" s="1"/>
  <c r="D150" i="1"/>
  <c r="E150" i="1" s="1"/>
  <c r="A150" i="1"/>
  <c r="O149" i="1"/>
  <c r="P149" i="1" s="1"/>
  <c r="M149" i="1"/>
  <c r="N149" i="1" s="1"/>
  <c r="K149" i="1"/>
  <c r="J149" i="1"/>
  <c r="H149" i="1"/>
  <c r="I149" i="1" s="1"/>
  <c r="G149" i="1"/>
  <c r="F149" i="1"/>
  <c r="E149" i="1"/>
  <c r="D149" i="1"/>
  <c r="A149" i="1"/>
  <c r="P148" i="1"/>
  <c r="O148" i="1"/>
  <c r="M148" i="1"/>
  <c r="N148" i="1" s="1"/>
  <c r="J148" i="1"/>
  <c r="K148" i="1" s="1"/>
  <c r="H148" i="1"/>
  <c r="I148" i="1" s="1"/>
  <c r="F148" i="1"/>
  <c r="G148" i="1" s="1"/>
  <c r="E148" i="1"/>
  <c r="D148" i="1"/>
  <c r="A148" i="1"/>
  <c r="O147" i="1"/>
  <c r="P147" i="1" s="1"/>
  <c r="M147" i="1"/>
  <c r="N147" i="1" s="1"/>
  <c r="J147" i="1"/>
  <c r="K147" i="1" s="1"/>
  <c r="I147" i="1"/>
  <c r="H147" i="1"/>
  <c r="F147" i="1"/>
  <c r="G147" i="1" s="1"/>
  <c r="E147" i="1"/>
  <c r="D147" i="1"/>
  <c r="A147" i="1"/>
  <c r="O146" i="1"/>
  <c r="P146" i="1" s="1"/>
  <c r="M146" i="1"/>
  <c r="N146" i="1" s="1"/>
  <c r="J146" i="1"/>
  <c r="K146" i="1" s="1"/>
  <c r="H146" i="1"/>
  <c r="I146" i="1" s="1"/>
  <c r="F146" i="1"/>
  <c r="G146" i="1" s="1"/>
  <c r="D146" i="1"/>
  <c r="E146" i="1" s="1"/>
  <c r="A146" i="1"/>
  <c r="P145" i="1"/>
  <c r="O145" i="1"/>
  <c r="M145" i="1"/>
  <c r="N145" i="1" s="1"/>
  <c r="K145" i="1"/>
  <c r="J145" i="1"/>
  <c r="I145" i="1"/>
  <c r="H145" i="1"/>
  <c r="G145" i="1"/>
  <c r="F145" i="1"/>
  <c r="D145" i="1"/>
  <c r="E145" i="1" s="1"/>
  <c r="A145" i="1"/>
  <c r="O144" i="1"/>
  <c r="P144" i="1" s="1"/>
  <c r="M144" i="1"/>
  <c r="N144" i="1" s="1"/>
  <c r="K144" i="1"/>
  <c r="J144" i="1"/>
  <c r="I144" i="1"/>
  <c r="H144" i="1"/>
  <c r="F144" i="1"/>
  <c r="G144" i="1" s="1"/>
  <c r="D144" i="1"/>
  <c r="E144" i="1" s="1"/>
  <c r="A144" i="1"/>
  <c r="O143" i="1"/>
  <c r="P143" i="1" s="1"/>
  <c r="N143" i="1"/>
  <c r="M143" i="1"/>
  <c r="K143" i="1"/>
  <c r="J143" i="1"/>
  <c r="H143" i="1"/>
  <c r="I143" i="1" s="1"/>
  <c r="F143" i="1"/>
  <c r="G143" i="1" s="1"/>
  <c r="D143" i="1"/>
  <c r="E143" i="1" s="1"/>
  <c r="A143" i="1"/>
  <c r="O142" i="1"/>
  <c r="P142" i="1" s="1"/>
  <c r="N142" i="1"/>
  <c r="M142" i="1"/>
  <c r="J142" i="1"/>
  <c r="K142" i="1" s="1"/>
  <c r="H142" i="1"/>
  <c r="I142" i="1" s="1"/>
  <c r="F142" i="1"/>
  <c r="G142" i="1" s="1"/>
  <c r="D142" i="1"/>
  <c r="E142" i="1" s="1"/>
  <c r="A142" i="1"/>
  <c r="O141" i="1"/>
  <c r="P141" i="1" s="1"/>
  <c r="N141" i="1"/>
  <c r="M141" i="1"/>
  <c r="K141" i="1"/>
  <c r="J141" i="1"/>
  <c r="H141" i="1"/>
  <c r="I141" i="1" s="1"/>
  <c r="G141" i="1"/>
  <c r="F141" i="1"/>
  <c r="D141" i="1"/>
  <c r="E141" i="1" s="1"/>
  <c r="A141" i="1"/>
  <c r="P140" i="1"/>
  <c r="O140" i="1"/>
  <c r="N140" i="1"/>
  <c r="M140" i="1"/>
  <c r="J140" i="1"/>
  <c r="K140" i="1" s="1"/>
  <c r="H140" i="1"/>
  <c r="I140" i="1" s="1"/>
  <c r="G140" i="1"/>
  <c r="F140" i="1"/>
  <c r="E140" i="1"/>
  <c r="D140" i="1"/>
  <c r="A140" i="1"/>
  <c r="P139" i="1"/>
  <c r="O139" i="1"/>
  <c r="M139" i="1"/>
  <c r="N139" i="1" s="1"/>
  <c r="A139" i="1"/>
  <c r="P138" i="1"/>
  <c r="O138" i="1"/>
  <c r="M138" i="1"/>
  <c r="N138" i="1" s="1"/>
  <c r="J138" i="1"/>
  <c r="K138" i="1" s="1"/>
  <c r="H138" i="1"/>
  <c r="I138" i="1" s="1"/>
  <c r="G138" i="1"/>
  <c r="F138" i="1"/>
  <c r="D138" i="1"/>
  <c r="E138" i="1" s="1"/>
  <c r="A138" i="1"/>
  <c r="P137" i="1"/>
  <c r="O137" i="1"/>
  <c r="M137" i="1"/>
  <c r="N137" i="1" s="1"/>
  <c r="J137" i="1"/>
  <c r="K137" i="1" s="1"/>
  <c r="H137" i="1"/>
  <c r="I137" i="1" s="1"/>
  <c r="F137" i="1"/>
  <c r="G137" i="1" s="1"/>
  <c r="D137" i="1"/>
  <c r="E137" i="1" s="1"/>
  <c r="A137" i="1"/>
  <c r="O136" i="1"/>
  <c r="P136" i="1" s="1"/>
  <c r="M136" i="1"/>
  <c r="N136" i="1" s="1"/>
  <c r="J136" i="1"/>
  <c r="K136" i="1" s="1"/>
  <c r="H136" i="1"/>
  <c r="I136" i="1" s="1"/>
  <c r="F136" i="1"/>
  <c r="G136" i="1" s="1"/>
  <c r="D136" i="1"/>
  <c r="E136" i="1" s="1"/>
  <c r="A136" i="1"/>
  <c r="O135" i="1"/>
  <c r="P135" i="1" s="1"/>
  <c r="M135" i="1"/>
  <c r="N135" i="1" s="1"/>
  <c r="J135" i="1"/>
  <c r="K135" i="1" s="1"/>
  <c r="I135" i="1"/>
  <c r="H135" i="1"/>
  <c r="F135" i="1"/>
  <c r="G135" i="1" s="1"/>
  <c r="E135" i="1"/>
  <c r="D135" i="1"/>
  <c r="A135" i="1"/>
  <c r="O134" i="1"/>
  <c r="P134" i="1" s="1"/>
  <c r="N134" i="1"/>
  <c r="M134" i="1"/>
  <c r="J134" i="1"/>
  <c r="K134" i="1" s="1"/>
  <c r="H134" i="1"/>
  <c r="I134" i="1" s="1"/>
  <c r="F134" i="1"/>
  <c r="G134" i="1" s="1"/>
  <c r="D134" i="1"/>
  <c r="E134" i="1" s="1"/>
  <c r="A134" i="1"/>
  <c r="P133" i="1"/>
  <c r="O133" i="1"/>
  <c r="M133" i="1"/>
  <c r="N133" i="1" s="1"/>
  <c r="K133" i="1"/>
  <c r="J133" i="1"/>
  <c r="H133" i="1"/>
  <c r="I133" i="1" s="1"/>
  <c r="F133" i="1"/>
  <c r="G133" i="1" s="1"/>
  <c r="E133" i="1"/>
  <c r="D133" i="1"/>
  <c r="A133" i="1"/>
  <c r="P132" i="1"/>
  <c r="O132" i="1"/>
  <c r="M132" i="1"/>
  <c r="N132" i="1" s="1"/>
  <c r="J132" i="1"/>
  <c r="K132" i="1" s="1"/>
  <c r="H132" i="1"/>
  <c r="I132" i="1" s="1"/>
  <c r="G132" i="1"/>
  <c r="F132" i="1"/>
  <c r="D132" i="1"/>
  <c r="E132" i="1" s="1"/>
  <c r="A132" i="1"/>
  <c r="O131" i="1"/>
  <c r="P131" i="1" s="1"/>
  <c r="M131" i="1"/>
  <c r="N131" i="1" s="1"/>
  <c r="J131" i="1"/>
  <c r="K131" i="1" s="1"/>
  <c r="H131" i="1"/>
  <c r="I131" i="1" s="1"/>
  <c r="G131" i="1"/>
  <c r="F131" i="1"/>
  <c r="E131" i="1"/>
  <c r="D131" i="1"/>
  <c r="A131" i="1"/>
  <c r="P130" i="1"/>
  <c r="O130" i="1"/>
  <c r="M130" i="1"/>
  <c r="N130" i="1" s="1"/>
  <c r="J130" i="1"/>
  <c r="K130" i="1" s="1"/>
  <c r="H130" i="1"/>
  <c r="I130" i="1" s="1"/>
  <c r="F130" i="1"/>
  <c r="G130" i="1" s="1"/>
  <c r="D130" i="1"/>
  <c r="E130" i="1" s="1"/>
  <c r="A130" i="1"/>
  <c r="O129" i="1"/>
  <c r="P129" i="1" s="1"/>
  <c r="M129" i="1"/>
  <c r="N129" i="1" s="1"/>
  <c r="J129" i="1"/>
  <c r="K129" i="1" s="1"/>
  <c r="H129" i="1"/>
  <c r="I129" i="1" s="1"/>
  <c r="G129" i="1"/>
  <c r="F129" i="1"/>
  <c r="D129" i="1"/>
  <c r="E129" i="1" s="1"/>
  <c r="A129" i="1"/>
  <c r="O128" i="1"/>
  <c r="P128" i="1" s="1"/>
  <c r="M128" i="1"/>
  <c r="N128" i="1" s="1"/>
  <c r="J128" i="1"/>
  <c r="K128" i="1" s="1"/>
  <c r="H128" i="1"/>
  <c r="I128" i="1" s="1"/>
  <c r="F128" i="1"/>
  <c r="G128" i="1" s="1"/>
  <c r="D128" i="1"/>
  <c r="E128" i="1" s="1"/>
  <c r="A128" i="1"/>
  <c r="O127" i="1"/>
  <c r="P127" i="1" s="1"/>
  <c r="N127" i="1"/>
  <c r="M127" i="1"/>
  <c r="A127" i="1"/>
  <c r="O126" i="1"/>
  <c r="P126" i="1" s="1"/>
  <c r="M126" i="1"/>
  <c r="N126" i="1" s="1"/>
  <c r="K126" i="1"/>
  <c r="J126" i="1"/>
  <c r="H126" i="1"/>
  <c r="I126" i="1" s="1"/>
  <c r="F126" i="1"/>
  <c r="G126" i="1" s="1"/>
  <c r="E126" i="1"/>
  <c r="D126" i="1"/>
  <c r="A126" i="1"/>
  <c r="O125" i="1"/>
  <c r="P125" i="1" s="1"/>
  <c r="M125" i="1"/>
  <c r="N125" i="1" s="1"/>
  <c r="J125" i="1"/>
  <c r="K125" i="1" s="1"/>
  <c r="H125" i="1"/>
  <c r="I125" i="1" s="1"/>
  <c r="F125" i="1"/>
  <c r="G125" i="1" s="1"/>
  <c r="E125" i="1"/>
  <c r="D125" i="1"/>
  <c r="A125" i="1"/>
  <c r="O124" i="1"/>
  <c r="P124" i="1" s="1"/>
  <c r="N124" i="1"/>
  <c r="M124" i="1"/>
  <c r="J124" i="1"/>
  <c r="K124" i="1" s="1"/>
  <c r="H124" i="1"/>
  <c r="I124" i="1" s="1"/>
  <c r="F124" i="1"/>
  <c r="G124" i="1" s="1"/>
  <c r="D124" i="1"/>
  <c r="E124" i="1" s="1"/>
  <c r="A124" i="1"/>
  <c r="O123" i="1"/>
  <c r="P123" i="1" s="1"/>
  <c r="M123" i="1"/>
  <c r="N123" i="1" s="1"/>
  <c r="J123" i="1"/>
  <c r="K123" i="1" s="1"/>
  <c r="H123" i="1"/>
  <c r="I123" i="1" s="1"/>
  <c r="F123" i="1"/>
  <c r="G123" i="1" s="1"/>
  <c r="D123" i="1"/>
  <c r="E123" i="1" s="1"/>
  <c r="A123" i="1"/>
  <c r="O122" i="1"/>
  <c r="P122" i="1" s="1"/>
  <c r="N122" i="1"/>
  <c r="M122" i="1"/>
  <c r="J122" i="1"/>
  <c r="K122" i="1" s="1"/>
  <c r="H122" i="1"/>
  <c r="I122" i="1" s="1"/>
  <c r="G122" i="1"/>
  <c r="F122" i="1"/>
  <c r="D122" i="1"/>
  <c r="E122" i="1" s="1"/>
  <c r="A122" i="1"/>
  <c r="P121" i="1"/>
  <c r="O121" i="1"/>
  <c r="M121" i="1"/>
  <c r="N121" i="1" s="1"/>
  <c r="J121" i="1"/>
  <c r="K121" i="1" s="1"/>
  <c r="H121" i="1"/>
  <c r="I121" i="1" s="1"/>
  <c r="G121" i="1"/>
  <c r="F121" i="1"/>
  <c r="D121" i="1"/>
  <c r="E121" i="1" s="1"/>
  <c r="A121" i="1"/>
  <c r="O120" i="1"/>
  <c r="P120" i="1" s="1"/>
  <c r="M120" i="1"/>
  <c r="N120" i="1" s="1"/>
  <c r="J120" i="1"/>
  <c r="K120" i="1" s="1"/>
  <c r="I120" i="1"/>
  <c r="H120" i="1"/>
  <c r="F120" i="1"/>
  <c r="G120" i="1" s="1"/>
  <c r="D120" i="1"/>
  <c r="E120" i="1" s="1"/>
  <c r="A120" i="1"/>
  <c r="O119" i="1"/>
  <c r="P119" i="1" s="1"/>
  <c r="M119" i="1"/>
  <c r="N119" i="1" s="1"/>
  <c r="J119" i="1"/>
  <c r="K119" i="1" s="1"/>
  <c r="H119" i="1"/>
  <c r="I119" i="1" s="1"/>
  <c r="F119" i="1"/>
  <c r="G119" i="1" s="1"/>
  <c r="D119" i="1"/>
  <c r="E119" i="1" s="1"/>
  <c r="A119" i="1"/>
  <c r="O118" i="1"/>
  <c r="P118" i="1" s="1"/>
  <c r="M118" i="1"/>
  <c r="N118" i="1" s="1"/>
  <c r="J118" i="1"/>
  <c r="K118" i="1" s="1"/>
  <c r="H118" i="1"/>
  <c r="I118" i="1" s="1"/>
  <c r="F118" i="1"/>
  <c r="G118" i="1" s="1"/>
  <c r="A118" i="1"/>
  <c r="BJ113" i="1"/>
  <c r="BI113" i="1"/>
  <c r="BH113" i="1"/>
  <c r="BG113" i="1"/>
  <c r="BJ112" i="1"/>
  <c r="BI112" i="1"/>
  <c r="BH112" i="1"/>
  <c r="BG112" i="1"/>
  <c r="BD111" i="1"/>
  <c r="J223" i="1" s="1"/>
  <c r="K223" i="1" s="1"/>
  <c r="BB111" i="1"/>
  <c r="F223" i="1" s="1"/>
  <c r="G223" i="1" s="1"/>
  <c r="AX111" i="1"/>
  <c r="J211" i="1" s="1"/>
  <c r="K211" i="1" s="1"/>
  <c r="AV111" i="1"/>
  <c r="F211" i="1" s="1"/>
  <c r="G211" i="1" s="1"/>
  <c r="AR111" i="1"/>
  <c r="J199" i="1" s="1"/>
  <c r="K199" i="1" s="1"/>
  <c r="AP111" i="1"/>
  <c r="F199" i="1" s="1"/>
  <c r="G199" i="1" s="1"/>
  <c r="AL111" i="1"/>
  <c r="J187" i="1" s="1"/>
  <c r="K187" i="1" s="1"/>
  <c r="AJ111" i="1"/>
  <c r="F187" i="1" s="1"/>
  <c r="G187" i="1" s="1"/>
  <c r="AF111" i="1"/>
  <c r="J175" i="1" s="1"/>
  <c r="K175" i="1" s="1"/>
  <c r="AD111" i="1"/>
  <c r="F175" i="1" s="1"/>
  <c r="G175" i="1" s="1"/>
  <c r="Z111" i="1"/>
  <c r="J163" i="1" s="1"/>
  <c r="K163" i="1" s="1"/>
  <c r="Y111" i="1"/>
  <c r="H163" i="1" s="1"/>
  <c r="I163" i="1" s="1"/>
  <c r="X111" i="1"/>
  <c r="F163" i="1" s="1"/>
  <c r="G163" i="1" s="1"/>
  <c r="T111" i="1"/>
  <c r="J151" i="1" s="1"/>
  <c r="K151" i="1" s="1"/>
  <c r="R111" i="1"/>
  <c r="F151" i="1" s="1"/>
  <c r="G151" i="1" s="1"/>
  <c r="N111" i="1"/>
  <c r="J139" i="1" s="1"/>
  <c r="K139" i="1" s="1"/>
  <c r="L111" i="1"/>
  <c r="F139" i="1" s="1"/>
  <c r="G139" i="1" s="1"/>
  <c r="H111" i="1"/>
  <c r="J127" i="1" s="1"/>
  <c r="K127" i="1" s="1"/>
  <c r="F111" i="1"/>
  <c r="F127" i="1" s="1"/>
  <c r="G127" i="1" s="1"/>
  <c r="BJ110" i="1"/>
  <c r="BI110" i="1"/>
  <c r="BH110" i="1"/>
  <c r="BG110" i="1"/>
  <c r="BJ109" i="1"/>
  <c r="BI109" i="1"/>
  <c r="BH109" i="1"/>
  <c r="BG109" i="1"/>
  <c r="BJ108" i="1"/>
  <c r="BI108" i="1"/>
  <c r="BH108" i="1"/>
  <c r="BG108" i="1"/>
  <c r="BJ107" i="1"/>
  <c r="BI107" i="1"/>
  <c r="BH107" i="1"/>
  <c r="BG107" i="1"/>
  <c r="BJ106" i="1"/>
  <c r="BI106" i="1"/>
  <c r="BH106" i="1"/>
  <c r="BG106" i="1"/>
  <c r="BJ105" i="1"/>
  <c r="BI105" i="1"/>
  <c r="BH105" i="1"/>
  <c r="BG105" i="1"/>
  <c r="BJ104" i="1"/>
  <c r="BI104" i="1"/>
  <c r="BH104" i="1"/>
  <c r="BG104" i="1"/>
  <c r="BJ103" i="1"/>
  <c r="BI103" i="1"/>
  <c r="BH103" i="1"/>
  <c r="BG103" i="1"/>
  <c r="BJ102" i="1"/>
  <c r="BI102" i="1"/>
  <c r="BH102" i="1"/>
  <c r="BG102" i="1"/>
  <c r="BJ101" i="1"/>
  <c r="BI101" i="1"/>
  <c r="BH101" i="1"/>
  <c r="BG101" i="1"/>
  <c r="BJ100" i="1"/>
  <c r="BI100" i="1"/>
  <c r="BH100" i="1"/>
  <c r="BG100" i="1"/>
  <c r="BJ99" i="1"/>
  <c r="BI99" i="1"/>
  <c r="BH99" i="1"/>
  <c r="BG99" i="1"/>
  <c r="BJ98" i="1"/>
  <c r="BI98" i="1"/>
  <c r="BH98" i="1"/>
  <c r="BG98" i="1"/>
  <c r="BJ97" i="1"/>
  <c r="BI97" i="1"/>
  <c r="BH97" i="1"/>
  <c r="BG97" i="1"/>
  <c r="BJ96" i="1"/>
  <c r="BI96" i="1"/>
  <c r="BH96" i="1"/>
  <c r="BG96" i="1"/>
  <c r="BJ95" i="1"/>
  <c r="BI95" i="1"/>
  <c r="BH95" i="1"/>
  <c r="BG95" i="1"/>
  <c r="BJ94" i="1"/>
  <c r="BI94" i="1"/>
  <c r="BH94" i="1"/>
  <c r="BG94" i="1"/>
  <c r="BJ93" i="1"/>
  <c r="BI93" i="1"/>
  <c r="BH93" i="1"/>
  <c r="BG93" i="1"/>
  <c r="BJ92" i="1"/>
  <c r="BI92" i="1"/>
  <c r="BH92" i="1"/>
  <c r="BG92" i="1"/>
  <c r="BJ91" i="1"/>
  <c r="BI91" i="1"/>
  <c r="BH91" i="1"/>
  <c r="BG91" i="1"/>
  <c r="BJ90" i="1"/>
  <c r="BI90" i="1"/>
  <c r="BH90" i="1"/>
  <c r="BG90" i="1"/>
  <c r="BJ89" i="1"/>
  <c r="BI89" i="1"/>
  <c r="BH89" i="1"/>
  <c r="BG89" i="1"/>
  <c r="BJ88" i="1"/>
  <c r="BI88" i="1"/>
  <c r="BH88" i="1"/>
  <c r="BG88" i="1"/>
  <c r="BJ87" i="1"/>
  <c r="BI87" i="1"/>
  <c r="BH87" i="1"/>
  <c r="BG87" i="1"/>
  <c r="BJ86" i="1"/>
  <c r="BI86" i="1"/>
  <c r="BH86" i="1"/>
  <c r="BG86" i="1"/>
  <c r="BJ85" i="1"/>
  <c r="BI85" i="1"/>
  <c r="BH85" i="1"/>
  <c r="BG85" i="1"/>
  <c r="BJ84" i="1"/>
  <c r="BI84" i="1"/>
  <c r="BH84" i="1"/>
  <c r="BG84" i="1"/>
  <c r="BJ83" i="1"/>
  <c r="BI83" i="1"/>
  <c r="BH83" i="1"/>
  <c r="BG83" i="1"/>
  <c r="BJ82" i="1"/>
  <c r="BI82" i="1"/>
  <c r="BH82" i="1"/>
  <c r="BG82" i="1"/>
  <c r="BJ81" i="1"/>
  <c r="BI81" i="1"/>
  <c r="BH81" i="1"/>
  <c r="BG81" i="1"/>
  <c r="BJ80" i="1"/>
  <c r="BI80" i="1"/>
  <c r="BH80" i="1"/>
  <c r="BG80" i="1"/>
  <c r="BJ79" i="1"/>
  <c r="BI79" i="1"/>
  <c r="BH79" i="1"/>
  <c r="BG79" i="1"/>
  <c r="BJ78" i="1"/>
  <c r="BI78" i="1"/>
  <c r="BH78" i="1"/>
  <c r="BG78" i="1"/>
  <c r="BJ77" i="1"/>
  <c r="BI77" i="1"/>
  <c r="BH77" i="1"/>
  <c r="BG77" i="1"/>
  <c r="BJ76" i="1"/>
  <c r="BI76" i="1"/>
  <c r="BH76" i="1"/>
  <c r="BG76" i="1"/>
  <c r="BJ75" i="1"/>
  <c r="BI75" i="1"/>
  <c r="BH75" i="1"/>
  <c r="BG75" i="1"/>
  <c r="BJ74" i="1"/>
  <c r="BI74" i="1"/>
  <c r="BH74" i="1"/>
  <c r="BG74" i="1"/>
  <c r="BJ73" i="1"/>
  <c r="BI73" i="1"/>
  <c r="BH73" i="1"/>
  <c r="BG73" i="1"/>
  <c r="BJ72" i="1"/>
  <c r="BI72" i="1"/>
  <c r="BH72" i="1"/>
  <c r="BG72" i="1"/>
  <c r="BJ71" i="1"/>
  <c r="BI71" i="1"/>
  <c r="BH71" i="1"/>
  <c r="BG71" i="1"/>
  <c r="BJ70" i="1"/>
  <c r="BI70" i="1"/>
  <c r="BH70" i="1"/>
  <c r="BG70" i="1"/>
  <c r="BJ69" i="1"/>
  <c r="BI69" i="1"/>
  <c r="BH69" i="1"/>
  <c r="BG69" i="1"/>
  <c r="BJ68" i="1"/>
  <c r="BI68" i="1"/>
  <c r="BH68" i="1"/>
  <c r="BG68" i="1"/>
  <c r="BJ67" i="1"/>
  <c r="BI67" i="1"/>
  <c r="BH67" i="1"/>
  <c r="BG67" i="1"/>
  <c r="BJ66" i="1"/>
  <c r="BI66" i="1"/>
  <c r="BH66" i="1"/>
  <c r="BG66" i="1"/>
  <c r="BJ65" i="1"/>
  <c r="BI65" i="1"/>
  <c r="BH65" i="1"/>
  <c r="BG65" i="1"/>
  <c r="BJ64" i="1"/>
  <c r="BI64" i="1"/>
  <c r="BH64" i="1"/>
  <c r="BG64" i="1"/>
  <c r="BJ63" i="1"/>
  <c r="BI63" i="1"/>
  <c r="BH63" i="1"/>
  <c r="BG63" i="1"/>
  <c r="BJ62" i="1"/>
  <c r="BI62" i="1"/>
  <c r="BH62" i="1"/>
  <c r="BG62" i="1"/>
  <c r="BJ61" i="1"/>
  <c r="BI61" i="1"/>
  <c r="BH61" i="1"/>
  <c r="BG61" i="1"/>
  <c r="BJ60" i="1"/>
  <c r="BI60" i="1"/>
  <c r="BH60" i="1"/>
  <c r="BG60" i="1"/>
  <c r="BJ59" i="1"/>
  <c r="BI59" i="1"/>
  <c r="BH59" i="1"/>
  <c r="BG59" i="1"/>
  <c r="BJ58" i="1"/>
  <c r="BI58" i="1"/>
  <c r="BH58" i="1"/>
  <c r="BG58" i="1"/>
  <c r="BJ57" i="1"/>
  <c r="BI57" i="1"/>
  <c r="BH57" i="1"/>
  <c r="BG57" i="1"/>
  <c r="BJ56" i="1"/>
  <c r="BI56" i="1"/>
  <c r="BH56" i="1"/>
  <c r="BG56" i="1"/>
  <c r="BJ55" i="1"/>
  <c r="BI55" i="1"/>
  <c r="BH55" i="1"/>
  <c r="BG55" i="1"/>
  <c r="BJ54" i="1"/>
  <c r="BI54" i="1"/>
  <c r="BH54" i="1"/>
  <c r="BG54" i="1"/>
  <c r="BJ53" i="1"/>
  <c r="BI53" i="1"/>
  <c r="BH53" i="1"/>
  <c r="BG53" i="1"/>
  <c r="BJ52" i="1"/>
  <c r="BI52" i="1"/>
  <c r="BH52" i="1"/>
  <c r="BG52" i="1"/>
  <c r="BJ51" i="1"/>
  <c r="BI51" i="1"/>
  <c r="BH51" i="1"/>
  <c r="BG51" i="1"/>
  <c r="BJ50" i="1"/>
  <c r="BI50" i="1"/>
  <c r="BH50" i="1"/>
  <c r="BG50" i="1"/>
  <c r="BJ49" i="1"/>
  <c r="BI49" i="1"/>
  <c r="BH49" i="1"/>
  <c r="BG49" i="1"/>
  <c r="BJ48" i="1"/>
  <c r="BI48" i="1"/>
  <c r="BH48" i="1"/>
  <c r="BG48" i="1"/>
  <c r="BJ47" i="1"/>
  <c r="BI47" i="1"/>
  <c r="BH47" i="1"/>
  <c r="BG47" i="1"/>
  <c r="BJ46" i="1"/>
  <c r="BI46" i="1"/>
  <c r="BH46" i="1"/>
  <c r="BG46" i="1"/>
  <c r="BJ45" i="1"/>
  <c r="BI45" i="1"/>
  <c r="BH45" i="1"/>
  <c r="BG45" i="1"/>
  <c r="BJ44" i="1"/>
  <c r="BI44" i="1"/>
  <c r="BH44" i="1"/>
  <c r="BG44" i="1"/>
  <c r="BJ43" i="1"/>
  <c r="BI43" i="1"/>
  <c r="BH43" i="1"/>
  <c r="BG43" i="1"/>
  <c r="BJ42" i="1"/>
  <c r="BI42" i="1"/>
  <c r="BH42" i="1"/>
  <c r="BG42" i="1"/>
  <c r="BJ41" i="1"/>
  <c r="BI41" i="1"/>
  <c r="BH41" i="1"/>
  <c r="BG41" i="1"/>
  <c r="BJ40" i="1"/>
  <c r="BI40" i="1"/>
  <c r="BH40" i="1"/>
  <c r="BG40" i="1"/>
  <c r="BJ39" i="1"/>
  <c r="BI39" i="1"/>
  <c r="BH39" i="1"/>
  <c r="BG39" i="1"/>
  <c r="BJ38" i="1"/>
  <c r="BI38" i="1"/>
  <c r="BH38" i="1"/>
  <c r="BG38" i="1"/>
  <c r="BJ37" i="1"/>
  <c r="BI37" i="1"/>
  <c r="BH37" i="1"/>
  <c r="BG37" i="1"/>
  <c r="BJ36" i="1"/>
  <c r="BI36" i="1"/>
  <c r="BH36" i="1"/>
  <c r="BG36" i="1"/>
  <c r="BJ35" i="1"/>
  <c r="BI35" i="1"/>
  <c r="BH35" i="1"/>
  <c r="BG35" i="1"/>
  <c r="BJ34" i="1"/>
  <c r="BI34" i="1"/>
  <c r="BH34" i="1"/>
  <c r="BG34" i="1"/>
  <c r="BJ33" i="1"/>
  <c r="BI33" i="1"/>
  <c r="BH33" i="1"/>
  <c r="BG33" i="1"/>
  <c r="BJ32" i="1"/>
  <c r="BI32" i="1"/>
  <c r="BH32" i="1"/>
  <c r="BG32" i="1"/>
  <c r="BJ31" i="1"/>
  <c r="BI31" i="1"/>
  <c r="BH31" i="1"/>
  <c r="BG31" i="1"/>
  <c r="BJ30" i="1"/>
  <c r="BI30" i="1"/>
  <c r="BH30" i="1"/>
  <c r="BG30" i="1"/>
  <c r="BJ29" i="1"/>
  <c r="BI29" i="1"/>
  <c r="BH29" i="1"/>
  <c r="BG29" i="1"/>
  <c r="BJ28" i="1"/>
  <c r="BI28" i="1"/>
  <c r="BH28" i="1"/>
  <c r="BG28" i="1"/>
  <c r="BJ27" i="1"/>
  <c r="BI27" i="1"/>
  <c r="BH27" i="1"/>
  <c r="BG27" i="1"/>
  <c r="BJ26" i="1"/>
  <c r="BI26" i="1"/>
  <c r="BH26" i="1"/>
  <c r="BG26" i="1"/>
  <c r="BJ25" i="1"/>
  <c r="BI25" i="1"/>
  <c r="BH25" i="1"/>
  <c r="BG25" i="1"/>
  <c r="BJ24" i="1"/>
  <c r="BI24" i="1"/>
  <c r="BH24" i="1"/>
  <c r="BG24" i="1"/>
  <c r="BJ23" i="1"/>
  <c r="BI23" i="1"/>
  <c r="BH23" i="1"/>
  <c r="BG23" i="1"/>
  <c r="BJ22" i="1"/>
  <c r="BI22" i="1"/>
  <c r="BH22" i="1"/>
  <c r="BG22" i="1"/>
  <c r="BJ21" i="1"/>
  <c r="BI21" i="1"/>
  <c r="BH21" i="1"/>
  <c r="BG21" i="1"/>
  <c r="BJ20" i="1"/>
  <c r="BI20" i="1"/>
  <c r="BH20" i="1"/>
  <c r="BG20" i="1"/>
  <c r="BJ19" i="1"/>
  <c r="BI19" i="1"/>
  <c r="BH19" i="1"/>
  <c r="BG19" i="1"/>
  <c r="BJ18" i="1"/>
  <c r="BI18" i="1"/>
  <c r="BH18" i="1"/>
  <c r="BG18" i="1"/>
  <c r="BJ17" i="1"/>
  <c r="BI17" i="1"/>
  <c r="BH17" i="1"/>
  <c r="BG17" i="1"/>
  <c r="BJ16" i="1"/>
  <c r="BI16" i="1"/>
  <c r="BH16" i="1"/>
  <c r="BG16" i="1"/>
  <c r="BJ15" i="1"/>
  <c r="BI15" i="1"/>
  <c r="BH15" i="1"/>
  <c r="BG15" i="1"/>
  <c r="BJ14" i="1"/>
  <c r="BI14" i="1"/>
  <c r="BH14" i="1"/>
  <c r="BG14" i="1"/>
  <c r="BJ13" i="1"/>
  <c r="BI13" i="1"/>
  <c r="BH13" i="1"/>
  <c r="BG13" i="1"/>
  <c r="BJ12" i="1"/>
  <c r="BI12" i="1"/>
  <c r="BH12" i="1"/>
  <c r="BG12" i="1"/>
  <c r="BJ11" i="1"/>
  <c r="BI11" i="1"/>
  <c r="BH11" i="1"/>
  <c r="BG11" i="1"/>
  <c r="BJ10" i="1"/>
  <c r="BI10" i="1"/>
  <c r="BH10" i="1"/>
  <c r="BG10" i="1"/>
  <c r="BJ9" i="1"/>
  <c r="BI9" i="1"/>
  <c r="BH9" i="1"/>
  <c r="BG9" i="1"/>
  <c r="BJ8" i="1"/>
  <c r="BI8" i="1"/>
  <c r="BH8" i="1"/>
  <c r="BG8" i="1"/>
  <c r="BJ7" i="1"/>
  <c r="BI7" i="1"/>
  <c r="BH7" i="1"/>
  <c r="BG7" i="1"/>
  <c r="BJ6" i="1"/>
  <c r="BI6" i="1"/>
  <c r="BH6" i="1"/>
  <c r="BG6" i="1"/>
  <c r="M111" i="1" l="1"/>
  <c r="H139" i="1" s="1"/>
  <c r="I139" i="1" s="1"/>
  <c r="AC111" i="1"/>
  <c r="D175" i="1" s="1"/>
  <c r="E175" i="1" s="1"/>
  <c r="AO111" i="1"/>
  <c r="D199" i="1" s="1"/>
  <c r="E199" i="1" s="1"/>
  <c r="Q111" i="1"/>
  <c r="D151" i="1" s="1"/>
  <c r="E151" i="1" s="1"/>
  <c r="AW111" i="1"/>
  <c r="H211" i="1" s="1"/>
  <c r="I211" i="1" s="1"/>
  <c r="D127" i="1"/>
  <c r="E127" i="1" s="1"/>
  <c r="AK111" i="1"/>
  <c r="H187" i="1" s="1"/>
  <c r="I187" i="1" s="1"/>
  <c r="BA111" i="1"/>
  <c r="D223" i="1" s="1"/>
  <c r="E223" i="1" s="1"/>
  <c r="K111" i="1"/>
  <c r="D139" i="1" s="1"/>
  <c r="E139" i="1" s="1"/>
  <c r="W111" i="1"/>
  <c r="D163" i="1" s="1"/>
  <c r="E163" i="1" s="1"/>
  <c r="AI111" i="1"/>
  <c r="D187" i="1" s="1"/>
  <c r="E187" i="1" s="1"/>
  <c r="AU111" i="1"/>
  <c r="D211" i="1" s="1"/>
  <c r="E211" i="1" s="1"/>
  <c r="BH111" i="1"/>
  <c r="BJ111" i="1"/>
  <c r="S111" i="1"/>
  <c r="H151" i="1" s="1"/>
  <c r="I151" i="1" s="1"/>
  <c r="AE111" i="1"/>
  <c r="H175" i="1" s="1"/>
  <c r="I175" i="1" s="1"/>
  <c r="AQ111" i="1"/>
  <c r="H199" i="1" s="1"/>
  <c r="I199" i="1" s="1"/>
  <c r="BC111" i="1"/>
  <c r="H223" i="1" s="1"/>
  <c r="I223" i="1" s="1"/>
  <c r="H127" i="1" l="1"/>
  <c r="I127" i="1" s="1"/>
  <c r="BI111" i="1"/>
  <c r="BG111" i="1"/>
</calcChain>
</file>

<file path=xl/sharedStrings.xml><?xml version="1.0" encoding="utf-8"?>
<sst xmlns="http://schemas.openxmlformats.org/spreadsheetml/2006/main" count="196" uniqueCount="28">
  <si>
    <t>resaltar duplicados en columnas del mes</t>
  </si>
  <si>
    <t>GUARDIA ESCOLTA</t>
  </si>
  <si>
    <t>ITIN</t>
  </si>
  <si>
    <t>LAS VARILLAS</t>
  </si>
  <si>
    <t>PIQUETE CABADO</t>
  </si>
  <si>
    <t>ALVEAR</t>
  </si>
  <si>
    <t>BALCARCE</t>
  </si>
  <si>
    <t>GRANADA</t>
  </si>
  <si>
    <t>VILLEGAS</t>
  </si>
  <si>
    <t>VICTORIA</t>
  </si>
  <si>
    <t>TOTAL ACOPIOS</t>
  </si>
  <si>
    <t>mes</t>
  </si>
  <si>
    <t>Orig Mes</t>
  </si>
  <si>
    <t>Orig YTD</t>
  </si>
  <si>
    <t>Equiv MES</t>
  </si>
  <si>
    <t>Equiv YTD</t>
  </si>
  <si>
    <t>año</t>
  </si>
  <si>
    <t>cambiar año en la formula</t>
  </si>
  <si>
    <t>mejor año antes del actual</t>
  </si>
  <si>
    <t>acopio + mes</t>
  </si>
  <si>
    <t>acopio</t>
  </si>
  <si>
    <t>Mejor Orig Mes</t>
  </si>
  <si>
    <t>Año</t>
  </si>
  <si>
    <t>Mejor Orig YTD</t>
  </si>
  <si>
    <t>Mejor Equiv Mes</t>
  </si>
  <si>
    <t>Mejor Equiv YTD</t>
  </si>
  <si>
    <t>Mejor Orig YTD anterior</t>
  </si>
  <si>
    <t>Mejor Equiv YTD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</si>
</sst>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3" borderId="0" xfId="0" applyFill="1"/>
    <xf numFmtId="0" fontId="0" fillId="4" borderId="0" xfId="0" applyFill="1"/>
    <xf numFmtId="17" fontId="3" fillId="0" borderId="0" xfId="0" applyNumberFormat="1" applyFont="1" applyAlignment="1">
      <alignment horizontal="center" vertical="center"/>
    </xf>
    <xf numFmtId="165" fontId="0" fillId="3" borderId="0" xfId="1" applyNumberFormat="1" applyFont="1" applyFill="1"/>
    <xf numFmtId="165" fontId="0" fillId="4" borderId="0" xfId="1" applyNumberFormat="1" applyFont="1" applyFill="1"/>
    <xf numFmtId="165" fontId="0" fillId="3" borderId="0" xfId="1" applyNumberFormat="1" applyFont="1" applyFill="1" applyBorder="1"/>
    <xf numFmtId="165" fontId="0" fillId="4" borderId="0" xfId="1" applyNumberFormat="1" applyFont="1" applyFill="1" applyBorder="1"/>
    <xf numFmtId="165" fontId="0" fillId="0" borderId="0" xfId="1" applyNumberFormat="1" applyFont="1" applyBorder="1"/>
    <xf numFmtId="165" fontId="0" fillId="2" borderId="0" xfId="1" applyNumberFormat="1" applyFont="1" applyFill="1" applyBorder="1"/>
    <xf numFmtId="0" fontId="0" fillId="2" borderId="0" xfId="0" applyFill="1"/>
    <xf numFmtId="165" fontId="0" fillId="0" borderId="0" xfId="1" applyNumberFormat="1" applyFont="1"/>
    <xf numFmtId="165" fontId="0" fillId="0" borderId="0" xfId="0" applyNumberFormat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iprod.sharepoint.com/sites/FSArgentina/Timbues/Administracion/ANGEL%20LODI/ACOPIOS%20COFCO/PRESENTACION%20DE%20ACOPIOS%20-%20Archivos%20para%20armado/2025/Reunion%202025-10/10.2025%20-%20P&amp;L%20Acumulado%202023.2024.2025%20-%20cuadros%20nuevos.xlsx" TargetMode="External"/><Relationship Id="rId2" Type="http://schemas.microsoft.com/office/2019/04/relationships/externalLinkLongPath" Target="https://ciprod.sharepoint.com/sites/FSArgentina/Timbues/Administracion/ANGEL%20LODI/ACOPIOS%20COFCO/PRESENTACION%20DE%20ACOPIOS%20-%20Archivos%20para%20armado/2025/Reunion%202025-10/10.2025%20-%20P&amp;L%20Acumulado%202023.2024.2025%20-%20cuadros%20nuevos.xlsx?55A0E6D9" TargetMode="External"/><Relationship Id="rId1" Type="http://schemas.openxmlformats.org/officeDocument/2006/relationships/externalLinkPath" Target="file:///\\55A0E6D9\10.2025%20-%20P&amp;L%20Acumulado%202023.2024.2025%20-%20cuadros%20nu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ce. Acopios YTD 2023"/>
      <sheetName val="Bce. Acopios YTD 2024"/>
      <sheetName val="Bce. Acopios YTD 2025-10"/>
      <sheetName val="Bce. Acopios YTD 2025-10 (2)"/>
      <sheetName val="Toneladas"/>
      <sheetName val="Toneladas NPC-SUBP"/>
      <sheetName val="CONSOLIDADO RDOS"/>
      <sheetName val="RDO X ACOPIO"/>
      <sheetName val="RDO TOTAL"/>
      <sheetName val="Nuevo Gráfico x Planta"/>
      <sheetName val="Comparativa"/>
      <sheetName val="Highlights"/>
    </sheetNames>
    <sheetDataSet>
      <sheetData sheetId="0"/>
      <sheetData sheetId="1"/>
      <sheetData sheetId="2"/>
      <sheetData sheetId="3">
        <row r="5">
          <cell r="C5">
            <v>166961.003</v>
          </cell>
          <cell r="D5">
            <v>156323.08799999999</v>
          </cell>
          <cell r="E5">
            <v>219907.383</v>
          </cell>
          <cell r="F5">
            <v>184169.18799999999</v>
          </cell>
          <cell r="G5">
            <v>86712.002999999982</v>
          </cell>
          <cell r="H5">
            <v>137544.845</v>
          </cell>
          <cell r="I5">
            <v>89843.010999999969</v>
          </cell>
          <cell r="J5">
            <v>106370.61700000003</v>
          </cell>
          <cell r="K5">
            <v>14927.452000000001</v>
          </cell>
        </row>
        <row r="6">
          <cell r="C6">
            <v>103741.81999999999</v>
          </cell>
          <cell r="D6">
            <v>69040.59</v>
          </cell>
          <cell r="E6">
            <v>51271.140000000007</v>
          </cell>
          <cell r="F6">
            <v>76615.97</v>
          </cell>
          <cell r="G6">
            <v>36190.67</v>
          </cell>
          <cell r="H6">
            <v>98674.35000000002</v>
          </cell>
          <cell r="I6">
            <v>36991.72</v>
          </cell>
          <cell r="J6"/>
          <cell r="K6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7479-770D-4B01-9CC1-07B9B83CFA3F}">
  <dimension ref="A1:BK225"/>
  <sheetViews>
    <sheetView tabSelected="1" workbookViewId="0">
      <pane ySplit="5" topLeftCell="A99" activePane="bottomLeft" state="frozen"/>
      <selection pane="bottomLeft" activeCell="D118" sqref="D118"/>
    </sheetView>
  </sheetViews>
  <sheetFormatPr baseColWidth="10" defaultColWidth="14.7265625" defaultRowHeight="14.5" outlineLevelRow="1" x14ac:dyDescent="0.35"/>
  <cols>
    <col min="1" max="1" width="20.453125" bestFit="1" customWidth="1"/>
    <col min="2" max="2" width="19" customWidth="1"/>
    <col min="3" max="3" width="11.54296875" bestFit="1" customWidth="1"/>
    <col min="4" max="4" width="21" customWidth="1"/>
    <col min="5" max="5" width="20.26953125" bestFit="1" customWidth="1"/>
    <col min="6" max="6" width="14.1796875" bestFit="1" customWidth="1"/>
    <col min="7" max="7" width="12.54296875" bestFit="1" customWidth="1"/>
    <col min="8" max="8" width="20.81640625" customWidth="1"/>
    <col min="9" max="9" width="12.54296875" bestFit="1" customWidth="1"/>
    <col min="10" max="10" width="13.7265625" bestFit="1" customWidth="1"/>
    <col min="11" max="11" width="9" bestFit="1" customWidth="1"/>
    <col min="12" max="12" width="10.1796875" bestFit="1" customWidth="1"/>
    <col min="13" max="13" width="25.453125" customWidth="1"/>
    <col min="14" max="14" width="13.7265625" bestFit="1" customWidth="1"/>
    <col min="15" max="15" width="12.54296875" bestFit="1" customWidth="1"/>
    <col min="16" max="16" width="13.7265625" bestFit="1" customWidth="1"/>
    <col min="17" max="17" width="12.54296875" bestFit="1" customWidth="1"/>
    <col min="18" max="18" width="13.7265625" bestFit="1" customWidth="1"/>
    <col min="19" max="19" width="9" bestFit="1" customWidth="1"/>
    <col min="20" max="20" width="10.1796875" bestFit="1" customWidth="1"/>
    <col min="21" max="21" width="12.54296875" bestFit="1" customWidth="1"/>
    <col min="22" max="22" width="13.7265625" bestFit="1" customWidth="1"/>
    <col min="23" max="23" width="12.54296875" bestFit="1" customWidth="1"/>
    <col min="24" max="24" width="13.7265625" bestFit="1" customWidth="1"/>
    <col min="25" max="25" width="12.54296875" bestFit="1" customWidth="1"/>
    <col min="26" max="26" width="13.7265625" bestFit="1" customWidth="1"/>
    <col min="27" max="27" width="9" bestFit="1" customWidth="1"/>
    <col min="28" max="28" width="10.1796875" bestFit="1" customWidth="1"/>
    <col min="29" max="29" width="12.54296875" bestFit="1" customWidth="1"/>
    <col min="30" max="30" width="13.7265625" bestFit="1" customWidth="1"/>
    <col min="31" max="31" width="12.54296875" bestFit="1" customWidth="1"/>
    <col min="32" max="32" width="13.7265625" bestFit="1" customWidth="1"/>
    <col min="33" max="33" width="12.54296875" bestFit="1" customWidth="1"/>
    <col min="34" max="34" width="13.7265625" bestFit="1" customWidth="1"/>
    <col min="35" max="35" width="9" bestFit="1" customWidth="1"/>
    <col min="36" max="36" width="10.1796875" customWidth="1"/>
    <col min="37" max="37" width="12.54296875" bestFit="1" customWidth="1"/>
    <col min="38" max="38" width="13.7265625" bestFit="1" customWidth="1"/>
    <col min="39" max="39" width="12.54296875" bestFit="1" customWidth="1"/>
    <col min="40" max="40" width="13.7265625" bestFit="1" customWidth="1"/>
    <col min="41" max="41" width="12.54296875" bestFit="1" customWidth="1"/>
    <col min="42" max="42" width="13.7265625" bestFit="1" customWidth="1"/>
    <col min="43" max="43" width="9" bestFit="1" customWidth="1"/>
    <col min="44" max="44" width="10.1796875" customWidth="1"/>
    <col min="45" max="45" width="12.54296875" bestFit="1" customWidth="1"/>
    <col min="46" max="46" width="13.7265625" bestFit="1" customWidth="1"/>
    <col min="47" max="47" width="12.54296875" bestFit="1" customWidth="1"/>
    <col min="48" max="48" width="13.7265625" bestFit="1" customWidth="1"/>
    <col min="49" max="49" width="12.54296875" bestFit="1" customWidth="1"/>
    <col min="50" max="50" width="13.7265625" bestFit="1" customWidth="1"/>
    <col min="51" max="51" width="9" bestFit="1" customWidth="1"/>
    <col min="52" max="52" width="10.1796875" customWidth="1"/>
    <col min="53" max="53" width="12.54296875" bestFit="1" customWidth="1"/>
    <col min="54" max="54" width="13.7265625" bestFit="1" customWidth="1"/>
    <col min="55" max="55" width="12.54296875" bestFit="1" customWidth="1"/>
    <col min="56" max="56" width="13.7265625" bestFit="1" customWidth="1"/>
    <col min="57" max="57" width="12.54296875" bestFit="1" customWidth="1"/>
    <col min="58" max="58" width="13.7265625" bestFit="1" customWidth="1"/>
    <col min="59" max="59" width="9" bestFit="1" customWidth="1"/>
    <col min="60" max="60" width="10.54296875" bestFit="1" customWidth="1"/>
    <col min="61" max="61" width="12.54296875" bestFit="1" customWidth="1"/>
    <col min="62" max="62" width="13.7265625" bestFit="1" customWidth="1"/>
    <col min="63" max="63" width="12.54296875" bestFit="1" customWidth="1"/>
    <col min="64" max="64" width="13.7265625" bestFit="1" customWidth="1"/>
    <col min="65" max="65" width="12.54296875" bestFit="1" customWidth="1"/>
    <col min="66" max="66" width="13.7265625" bestFit="1" customWidth="1"/>
    <col min="67" max="67" width="9" bestFit="1" customWidth="1"/>
    <col min="68" max="68" width="10.1796875" customWidth="1"/>
    <col min="69" max="69" width="12.54296875" bestFit="1" customWidth="1"/>
    <col min="70" max="70" width="13.7265625" bestFit="1" customWidth="1"/>
    <col min="71" max="71" width="12.54296875" bestFit="1" customWidth="1"/>
    <col min="72" max="72" width="13.7265625" bestFit="1" customWidth="1"/>
    <col min="73" max="73" width="12.54296875" bestFit="1" customWidth="1"/>
    <col min="74" max="74" width="13.7265625" bestFit="1" customWidth="1"/>
    <col min="75" max="75" width="9" bestFit="1" customWidth="1"/>
    <col min="76" max="76" width="10.1796875" customWidth="1"/>
    <col min="77" max="77" width="12.54296875" bestFit="1" customWidth="1"/>
    <col min="78" max="78" width="13.7265625" bestFit="1" customWidth="1"/>
    <col min="79" max="79" width="12.54296875" bestFit="1" customWidth="1"/>
    <col min="80" max="80" width="13.7265625" bestFit="1" customWidth="1"/>
    <col min="81" max="81" width="12.54296875" bestFit="1" customWidth="1"/>
    <col min="82" max="82" width="13.7265625" bestFit="1" customWidth="1"/>
  </cols>
  <sheetData>
    <row r="1" spans="3:63" x14ac:dyDescent="0.35">
      <c r="E1" s="15" t="s">
        <v>0</v>
      </c>
      <c r="F1" s="15"/>
      <c r="G1" s="15"/>
    </row>
    <row r="4" spans="3:63" x14ac:dyDescent="0.35">
      <c r="D4" s="14" t="s">
        <v>1</v>
      </c>
      <c r="E4" s="14"/>
      <c r="F4" s="14"/>
      <c r="G4" s="14"/>
      <c r="H4" s="14"/>
      <c r="I4" s="14"/>
      <c r="J4" s="13" t="s">
        <v>2</v>
      </c>
      <c r="K4" s="13"/>
      <c r="L4" s="13"/>
      <c r="M4" s="13"/>
      <c r="N4" s="13"/>
      <c r="O4" s="13"/>
      <c r="P4" s="14" t="s">
        <v>3</v>
      </c>
      <c r="Q4" s="14"/>
      <c r="R4" s="14"/>
      <c r="S4" s="14"/>
      <c r="T4" s="14"/>
      <c r="U4" s="14"/>
      <c r="V4" s="13" t="s">
        <v>4</v>
      </c>
      <c r="W4" s="13"/>
      <c r="X4" s="13"/>
      <c r="Y4" s="13"/>
      <c r="Z4" s="13"/>
      <c r="AA4" s="13"/>
      <c r="AB4" s="14" t="s">
        <v>5</v>
      </c>
      <c r="AC4" s="14"/>
      <c r="AD4" s="14"/>
      <c r="AE4" s="14"/>
      <c r="AF4" s="14"/>
      <c r="AG4" s="14"/>
      <c r="AH4" s="13" t="s">
        <v>6</v>
      </c>
      <c r="AI4" s="13"/>
      <c r="AJ4" s="13"/>
      <c r="AK4" s="13"/>
      <c r="AL4" s="13"/>
      <c r="AM4" s="13"/>
      <c r="AN4" s="14" t="s">
        <v>7</v>
      </c>
      <c r="AO4" s="14"/>
      <c r="AP4" s="14"/>
      <c r="AQ4" s="14"/>
      <c r="AR4" s="14"/>
      <c r="AS4" s="14"/>
      <c r="AT4" s="13" t="s">
        <v>8</v>
      </c>
      <c r="AU4" s="13"/>
      <c r="AV4" s="13"/>
      <c r="AW4" s="13"/>
      <c r="AX4" s="13"/>
      <c r="AY4" s="13"/>
      <c r="AZ4" s="14" t="s">
        <v>9</v>
      </c>
      <c r="BA4" s="14"/>
      <c r="BB4" s="14"/>
      <c r="BC4" s="14"/>
      <c r="BD4" s="14"/>
      <c r="BE4" s="14"/>
      <c r="BF4" s="13" t="s">
        <v>10</v>
      </c>
      <c r="BG4" s="13"/>
      <c r="BH4" s="13"/>
      <c r="BI4" s="13"/>
      <c r="BJ4" s="13"/>
      <c r="BK4" s="13"/>
    </row>
    <row r="5" spans="3:63" x14ac:dyDescent="0.35"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1" t="s">
        <v>11</v>
      </c>
      <c r="Q5" s="1" t="s">
        <v>12</v>
      </c>
      <c r="R5" s="1" t="s">
        <v>13</v>
      </c>
      <c r="S5" s="1" t="s">
        <v>14</v>
      </c>
      <c r="T5" s="1" t="s">
        <v>15</v>
      </c>
      <c r="U5" s="1" t="s">
        <v>16</v>
      </c>
      <c r="V5" s="2" t="s">
        <v>11</v>
      </c>
      <c r="W5" s="2" t="s">
        <v>12</v>
      </c>
      <c r="X5" s="2" t="s">
        <v>13</v>
      </c>
      <c r="Y5" s="2" t="s">
        <v>14</v>
      </c>
      <c r="Z5" s="2" t="s">
        <v>15</v>
      </c>
      <c r="AA5" s="2" t="s">
        <v>16</v>
      </c>
      <c r="AB5" s="1" t="s">
        <v>11</v>
      </c>
      <c r="AC5" s="1" t="s">
        <v>12</v>
      </c>
      <c r="AD5" s="1" t="s">
        <v>13</v>
      </c>
      <c r="AE5" s="1" t="s">
        <v>14</v>
      </c>
      <c r="AF5" s="1" t="s">
        <v>15</v>
      </c>
      <c r="AG5" s="1" t="s">
        <v>16</v>
      </c>
      <c r="AH5" s="2" t="s">
        <v>11</v>
      </c>
      <c r="AI5" s="2" t="s">
        <v>12</v>
      </c>
      <c r="AJ5" s="2" t="s">
        <v>13</v>
      </c>
      <c r="AK5" s="2" t="s">
        <v>14</v>
      </c>
      <c r="AL5" s="2" t="s">
        <v>15</v>
      </c>
      <c r="AM5" s="2" t="s">
        <v>16</v>
      </c>
      <c r="AN5" s="1" t="s">
        <v>11</v>
      </c>
      <c r="AO5" s="1" t="s">
        <v>12</v>
      </c>
      <c r="AP5" s="1" t="s">
        <v>13</v>
      </c>
      <c r="AQ5" s="1" t="s">
        <v>14</v>
      </c>
      <c r="AR5" s="1" t="s">
        <v>15</v>
      </c>
      <c r="AS5" s="1" t="s">
        <v>16</v>
      </c>
      <c r="AT5" s="2" t="s">
        <v>11</v>
      </c>
      <c r="AU5" s="2" t="s">
        <v>12</v>
      </c>
      <c r="AV5" s="2" t="s">
        <v>13</v>
      </c>
      <c r="AW5" s="2" t="s">
        <v>14</v>
      </c>
      <c r="AX5" s="2" t="s">
        <v>15</v>
      </c>
      <c r="AY5" s="2" t="s">
        <v>16</v>
      </c>
      <c r="AZ5" s="1" t="s">
        <v>11</v>
      </c>
      <c r="BA5" s="1" t="s">
        <v>12</v>
      </c>
      <c r="BB5" s="1" t="s">
        <v>13</v>
      </c>
      <c r="BC5" s="1" t="s">
        <v>14</v>
      </c>
      <c r="BD5" s="1" t="s">
        <v>15</v>
      </c>
      <c r="BE5" s="1" t="s">
        <v>16</v>
      </c>
      <c r="BF5" s="2" t="s">
        <v>11</v>
      </c>
      <c r="BG5" s="2" t="s">
        <v>12</v>
      </c>
      <c r="BH5" s="2" t="s">
        <v>13</v>
      </c>
      <c r="BI5" s="2" t="s">
        <v>14</v>
      </c>
      <c r="BJ5" s="2" t="s">
        <v>15</v>
      </c>
      <c r="BK5" s="2" t="s">
        <v>16</v>
      </c>
    </row>
    <row r="6" spans="3:63" x14ac:dyDescent="0.35">
      <c r="C6" s="3">
        <v>42736</v>
      </c>
      <c r="D6" s="1">
        <v>1</v>
      </c>
      <c r="E6" s="4">
        <v>12646</v>
      </c>
      <c r="F6" s="4">
        <v>12646</v>
      </c>
      <c r="G6" s="4">
        <v>29.7</v>
      </c>
      <c r="H6" s="4">
        <v>29.7</v>
      </c>
      <c r="I6" s="1">
        <v>2017</v>
      </c>
      <c r="J6" s="2">
        <v>1</v>
      </c>
      <c r="K6" s="5">
        <v>9543</v>
      </c>
      <c r="L6" s="5">
        <v>9543</v>
      </c>
      <c r="M6" s="5">
        <v>138.69999999999999</v>
      </c>
      <c r="N6" s="5">
        <v>138.69999999999999</v>
      </c>
      <c r="O6" s="2">
        <v>2017</v>
      </c>
      <c r="P6" s="1">
        <v>1</v>
      </c>
      <c r="Q6" s="4">
        <v>16714</v>
      </c>
      <c r="R6" s="4">
        <v>16714</v>
      </c>
      <c r="S6" s="4">
        <v>582.9</v>
      </c>
      <c r="T6" s="4">
        <v>582.9</v>
      </c>
      <c r="U6" s="1">
        <v>2017</v>
      </c>
      <c r="V6" s="2">
        <v>1</v>
      </c>
      <c r="W6" s="5">
        <v>41001</v>
      </c>
      <c r="X6" s="5">
        <v>41001</v>
      </c>
      <c r="Y6" s="5">
        <v>0</v>
      </c>
      <c r="Z6" s="5">
        <v>0</v>
      </c>
      <c r="AA6" s="2">
        <v>2017</v>
      </c>
      <c r="AB6" s="1">
        <v>1</v>
      </c>
      <c r="AC6" s="4">
        <v>0</v>
      </c>
      <c r="AD6" s="4">
        <v>0</v>
      </c>
      <c r="AE6" s="4">
        <v>0</v>
      </c>
      <c r="AF6" s="4">
        <v>0</v>
      </c>
      <c r="AG6" s="1">
        <v>2017</v>
      </c>
      <c r="AH6" s="2">
        <v>1</v>
      </c>
      <c r="AI6" s="5">
        <v>0</v>
      </c>
      <c r="AJ6" s="5">
        <v>0</v>
      </c>
      <c r="AK6" s="5">
        <v>0</v>
      </c>
      <c r="AL6" s="5">
        <v>0</v>
      </c>
      <c r="AM6" s="2">
        <v>2017</v>
      </c>
      <c r="AN6" s="1">
        <v>1</v>
      </c>
      <c r="AO6" s="4">
        <v>0</v>
      </c>
      <c r="AP6" s="4">
        <v>0</v>
      </c>
      <c r="AQ6" s="4">
        <v>0</v>
      </c>
      <c r="AR6" s="4">
        <v>0</v>
      </c>
      <c r="AS6" s="1">
        <v>2017</v>
      </c>
      <c r="AT6" s="2">
        <v>1</v>
      </c>
      <c r="AU6" s="5">
        <v>0</v>
      </c>
      <c r="AV6" s="5">
        <v>0</v>
      </c>
      <c r="AW6" s="5">
        <v>0</v>
      </c>
      <c r="AX6" s="5">
        <v>0</v>
      </c>
      <c r="AY6" s="2">
        <v>2017</v>
      </c>
      <c r="AZ6" s="1">
        <v>1</v>
      </c>
      <c r="BA6" s="4">
        <v>0</v>
      </c>
      <c r="BB6" s="4">
        <v>0</v>
      </c>
      <c r="BC6" s="4">
        <v>0</v>
      </c>
      <c r="BD6" s="4">
        <v>0</v>
      </c>
      <c r="BE6" s="1">
        <v>2017</v>
      </c>
      <c r="BF6" s="2">
        <v>1</v>
      </c>
      <c r="BG6" s="5">
        <f>+E6+K6+Q6+W6+AC6+AI6+AO6+AU6+BA6</f>
        <v>79904</v>
      </c>
      <c r="BH6" s="5">
        <f t="shared" ref="BH6:BJ21" si="0">+F6+L6+R6+X6+AD6+AJ6+AP6+AV6+BB6</f>
        <v>79904</v>
      </c>
      <c r="BI6" s="5">
        <f t="shared" si="0"/>
        <v>751.3</v>
      </c>
      <c r="BJ6" s="5">
        <f t="shared" si="0"/>
        <v>751.3</v>
      </c>
      <c r="BK6" s="2">
        <v>2017</v>
      </c>
    </row>
    <row r="7" spans="3:63" outlineLevel="1" x14ac:dyDescent="0.35">
      <c r="C7" s="3">
        <v>42767</v>
      </c>
      <c r="D7" s="1">
        <v>2</v>
      </c>
      <c r="E7" s="4">
        <v>6039</v>
      </c>
      <c r="F7" s="4">
        <v>18685</v>
      </c>
      <c r="G7" s="4">
        <v>0</v>
      </c>
      <c r="H7" s="4">
        <v>29.7</v>
      </c>
      <c r="I7" s="1">
        <v>2017</v>
      </c>
      <c r="J7" s="2">
        <v>2</v>
      </c>
      <c r="K7" s="5">
        <v>1087</v>
      </c>
      <c r="L7" s="5">
        <v>10630</v>
      </c>
      <c r="M7" s="5">
        <v>88.4</v>
      </c>
      <c r="N7" s="5">
        <v>227.1</v>
      </c>
      <c r="O7" s="2">
        <v>2017</v>
      </c>
      <c r="P7" s="1">
        <v>2</v>
      </c>
      <c r="Q7" s="4">
        <v>5362</v>
      </c>
      <c r="R7" s="4">
        <v>22076</v>
      </c>
      <c r="S7" s="4">
        <v>1504.7399999999998</v>
      </c>
      <c r="T7" s="4">
        <v>2087.64</v>
      </c>
      <c r="U7" s="1">
        <v>2017</v>
      </c>
      <c r="V7" s="2">
        <v>2</v>
      </c>
      <c r="W7" s="5">
        <v>4835</v>
      </c>
      <c r="X7" s="5">
        <v>45836</v>
      </c>
      <c r="Y7" s="5">
        <v>0</v>
      </c>
      <c r="Z7" s="5">
        <v>0</v>
      </c>
      <c r="AA7" s="2">
        <v>2017</v>
      </c>
      <c r="AB7" s="1">
        <v>2</v>
      </c>
      <c r="AC7" s="4">
        <v>0</v>
      </c>
      <c r="AD7" s="4">
        <v>0</v>
      </c>
      <c r="AE7" s="4">
        <v>0</v>
      </c>
      <c r="AF7" s="4">
        <v>0</v>
      </c>
      <c r="AG7" s="1">
        <v>2017</v>
      </c>
      <c r="AH7" s="2">
        <v>2</v>
      </c>
      <c r="AI7" s="5">
        <v>0</v>
      </c>
      <c r="AJ7" s="5">
        <v>0</v>
      </c>
      <c r="AK7" s="5">
        <v>0</v>
      </c>
      <c r="AL7" s="5">
        <v>0</v>
      </c>
      <c r="AM7" s="2">
        <v>2017</v>
      </c>
      <c r="AN7" s="1">
        <v>2</v>
      </c>
      <c r="AO7" s="4">
        <v>0</v>
      </c>
      <c r="AP7" s="4">
        <v>0</v>
      </c>
      <c r="AQ7" s="4">
        <v>0</v>
      </c>
      <c r="AR7" s="4">
        <v>0</v>
      </c>
      <c r="AS7" s="1">
        <v>2017</v>
      </c>
      <c r="AT7" s="2">
        <v>2</v>
      </c>
      <c r="AU7" s="5">
        <v>0</v>
      </c>
      <c r="AV7" s="5">
        <v>0</v>
      </c>
      <c r="AW7" s="5">
        <v>0</v>
      </c>
      <c r="AX7" s="5">
        <v>0</v>
      </c>
      <c r="AY7" s="2">
        <v>2017</v>
      </c>
      <c r="AZ7" s="1">
        <v>2</v>
      </c>
      <c r="BA7" s="4">
        <v>0</v>
      </c>
      <c r="BB7" s="4">
        <v>0</v>
      </c>
      <c r="BC7" s="4">
        <v>0</v>
      </c>
      <c r="BD7" s="4">
        <v>0</v>
      </c>
      <c r="BE7" s="1">
        <v>2017</v>
      </c>
      <c r="BF7" s="2">
        <v>2</v>
      </c>
      <c r="BG7" s="5">
        <f t="shared" ref="BG7:BJ22" si="1">+E7+K7+Q7+W7+AC7+AI7+AO7+AU7+BA7</f>
        <v>17323</v>
      </c>
      <c r="BH7" s="5">
        <f t="shared" si="0"/>
        <v>97227</v>
      </c>
      <c r="BI7" s="5">
        <f t="shared" si="0"/>
        <v>1593.1399999999999</v>
      </c>
      <c r="BJ7" s="5">
        <f t="shared" si="0"/>
        <v>2344.44</v>
      </c>
      <c r="BK7" s="2">
        <v>2017</v>
      </c>
    </row>
    <row r="8" spans="3:63" outlineLevel="1" x14ac:dyDescent="0.35">
      <c r="C8" s="3">
        <v>42795</v>
      </c>
      <c r="D8" s="1">
        <v>3</v>
      </c>
      <c r="E8" s="4">
        <v>27137.476999999999</v>
      </c>
      <c r="F8" s="4">
        <v>45822.476999999999</v>
      </c>
      <c r="G8" s="4">
        <v>591.58000000000004</v>
      </c>
      <c r="H8" s="4">
        <v>621.28000000000009</v>
      </c>
      <c r="I8" s="1">
        <v>2017</v>
      </c>
      <c r="J8" s="2">
        <v>3</v>
      </c>
      <c r="K8" s="5">
        <v>5859.9310000000005</v>
      </c>
      <c r="L8" s="5">
        <v>16489.931</v>
      </c>
      <c r="M8" s="5">
        <v>11.060000000000002</v>
      </c>
      <c r="N8" s="5">
        <v>238.16</v>
      </c>
      <c r="O8" s="2">
        <v>2017</v>
      </c>
      <c r="P8" s="1">
        <v>3</v>
      </c>
      <c r="Q8" s="4">
        <v>21122.767999999996</v>
      </c>
      <c r="R8" s="4">
        <v>43198.767999999996</v>
      </c>
      <c r="S8" s="4">
        <v>334.84000000000015</v>
      </c>
      <c r="T8" s="4">
        <v>2422.48</v>
      </c>
      <c r="U8" s="1">
        <v>2017</v>
      </c>
      <c r="V8" s="2">
        <v>3</v>
      </c>
      <c r="W8" s="5">
        <v>17623.22</v>
      </c>
      <c r="X8" s="5">
        <v>63459.22</v>
      </c>
      <c r="Y8" s="5">
        <v>0</v>
      </c>
      <c r="Z8" s="5">
        <v>0</v>
      </c>
      <c r="AA8" s="2">
        <v>2017</v>
      </c>
      <c r="AB8" s="1">
        <v>3</v>
      </c>
      <c r="AC8" s="4">
        <v>0</v>
      </c>
      <c r="AD8" s="4">
        <v>0</v>
      </c>
      <c r="AE8" s="4">
        <v>0</v>
      </c>
      <c r="AF8" s="4">
        <v>0</v>
      </c>
      <c r="AG8" s="1">
        <v>2017</v>
      </c>
      <c r="AH8" s="2">
        <v>3</v>
      </c>
      <c r="AI8" s="5">
        <v>0</v>
      </c>
      <c r="AJ8" s="5">
        <v>0</v>
      </c>
      <c r="AK8" s="5">
        <v>0</v>
      </c>
      <c r="AL8" s="5">
        <v>0</v>
      </c>
      <c r="AM8" s="2">
        <v>2017</v>
      </c>
      <c r="AN8" s="1">
        <v>3</v>
      </c>
      <c r="AO8" s="4">
        <v>0</v>
      </c>
      <c r="AP8" s="4">
        <v>0</v>
      </c>
      <c r="AQ8" s="4">
        <v>0</v>
      </c>
      <c r="AR8" s="4">
        <v>0</v>
      </c>
      <c r="AS8" s="1">
        <v>2017</v>
      </c>
      <c r="AT8" s="2">
        <v>3</v>
      </c>
      <c r="AU8" s="5">
        <v>0</v>
      </c>
      <c r="AV8" s="5">
        <v>0</v>
      </c>
      <c r="AW8" s="5">
        <v>0</v>
      </c>
      <c r="AX8" s="5">
        <v>0</v>
      </c>
      <c r="AY8" s="2">
        <v>2017</v>
      </c>
      <c r="AZ8" s="1">
        <v>3</v>
      </c>
      <c r="BA8" s="4">
        <v>0</v>
      </c>
      <c r="BB8" s="4">
        <v>0</v>
      </c>
      <c r="BC8" s="4">
        <v>0</v>
      </c>
      <c r="BD8" s="4">
        <v>0</v>
      </c>
      <c r="BE8" s="1">
        <v>2017</v>
      </c>
      <c r="BF8" s="2">
        <v>3</v>
      </c>
      <c r="BG8" s="5">
        <f t="shared" si="1"/>
        <v>71743.395999999993</v>
      </c>
      <c r="BH8" s="5">
        <f t="shared" si="0"/>
        <v>168970.39600000001</v>
      </c>
      <c r="BI8" s="5">
        <f t="shared" si="0"/>
        <v>937.48000000000025</v>
      </c>
      <c r="BJ8" s="5">
        <f t="shared" si="0"/>
        <v>3281.92</v>
      </c>
      <c r="BK8" s="2">
        <v>2017</v>
      </c>
    </row>
    <row r="9" spans="3:63" outlineLevel="1" x14ac:dyDescent="0.35">
      <c r="C9" s="3">
        <v>42826</v>
      </c>
      <c r="D9" s="1">
        <v>4</v>
      </c>
      <c r="E9" s="4">
        <v>21093.084000000003</v>
      </c>
      <c r="F9" s="4">
        <v>66915.561000000002</v>
      </c>
      <c r="G9" s="4">
        <v>2104.98</v>
      </c>
      <c r="H9" s="4">
        <v>2726.26</v>
      </c>
      <c r="I9" s="1">
        <v>2017</v>
      </c>
      <c r="J9" s="2">
        <v>4</v>
      </c>
      <c r="K9" s="5">
        <v>3573.5249999999978</v>
      </c>
      <c r="L9" s="5">
        <v>20063.455999999998</v>
      </c>
      <c r="M9" s="5">
        <v>1123.28</v>
      </c>
      <c r="N9" s="5">
        <v>1361.44</v>
      </c>
      <c r="O9" s="2">
        <v>2017</v>
      </c>
      <c r="P9" s="1">
        <v>4</v>
      </c>
      <c r="Q9" s="4">
        <v>16342.624000000003</v>
      </c>
      <c r="R9" s="4">
        <v>59541.392</v>
      </c>
      <c r="S9" s="4">
        <v>2323.6799999999998</v>
      </c>
      <c r="T9" s="4">
        <v>4746.16</v>
      </c>
      <c r="U9" s="1">
        <v>2017</v>
      </c>
      <c r="V9" s="2">
        <v>4</v>
      </c>
      <c r="W9" s="5">
        <v>18863.273000000001</v>
      </c>
      <c r="X9" s="5">
        <v>82322.493000000002</v>
      </c>
      <c r="Y9" s="5">
        <v>5449.46</v>
      </c>
      <c r="Z9" s="5">
        <v>5449.46</v>
      </c>
      <c r="AA9" s="2">
        <v>2017</v>
      </c>
      <c r="AB9" s="1">
        <v>4</v>
      </c>
      <c r="AC9" s="4">
        <v>0</v>
      </c>
      <c r="AD9" s="4">
        <v>0</v>
      </c>
      <c r="AE9" s="4">
        <v>0</v>
      </c>
      <c r="AF9" s="4">
        <v>0</v>
      </c>
      <c r="AG9" s="1">
        <v>2017</v>
      </c>
      <c r="AH9" s="2">
        <v>4</v>
      </c>
      <c r="AI9" s="5">
        <v>0</v>
      </c>
      <c r="AJ9" s="5">
        <v>0</v>
      </c>
      <c r="AK9" s="5">
        <v>0</v>
      </c>
      <c r="AL9" s="5">
        <v>0</v>
      </c>
      <c r="AM9" s="2">
        <v>2017</v>
      </c>
      <c r="AN9" s="1">
        <v>4</v>
      </c>
      <c r="AO9" s="4">
        <v>0</v>
      </c>
      <c r="AP9" s="4">
        <v>0</v>
      </c>
      <c r="AQ9" s="4">
        <v>0</v>
      </c>
      <c r="AR9" s="4">
        <v>0</v>
      </c>
      <c r="AS9" s="1">
        <v>2017</v>
      </c>
      <c r="AT9" s="2">
        <v>4</v>
      </c>
      <c r="AU9" s="5">
        <v>0</v>
      </c>
      <c r="AV9" s="5">
        <v>0</v>
      </c>
      <c r="AW9" s="5">
        <v>0</v>
      </c>
      <c r="AX9" s="5">
        <v>0</v>
      </c>
      <c r="AY9" s="2">
        <v>2017</v>
      </c>
      <c r="AZ9" s="1">
        <v>4</v>
      </c>
      <c r="BA9" s="4">
        <v>0</v>
      </c>
      <c r="BB9" s="4">
        <v>0</v>
      </c>
      <c r="BC9" s="4">
        <v>0</v>
      </c>
      <c r="BD9" s="4">
        <v>0</v>
      </c>
      <c r="BE9" s="1">
        <v>2017</v>
      </c>
      <c r="BF9" s="2">
        <v>4</v>
      </c>
      <c r="BG9" s="5">
        <f t="shared" si="1"/>
        <v>59872.506000000008</v>
      </c>
      <c r="BH9" s="5">
        <f t="shared" si="0"/>
        <v>228842.902</v>
      </c>
      <c r="BI9" s="5">
        <f t="shared" si="0"/>
        <v>11001.400000000001</v>
      </c>
      <c r="BJ9" s="5">
        <f t="shared" si="0"/>
        <v>14283.32</v>
      </c>
      <c r="BK9" s="2">
        <v>2017</v>
      </c>
    </row>
    <row r="10" spans="3:63" outlineLevel="1" x14ac:dyDescent="0.35">
      <c r="C10" s="3">
        <v>42856</v>
      </c>
      <c r="D10" s="1">
        <v>5</v>
      </c>
      <c r="E10" s="4">
        <v>13205.966</v>
      </c>
      <c r="F10" s="4">
        <v>80121.527000000002</v>
      </c>
      <c r="G10" s="4">
        <v>13220.58</v>
      </c>
      <c r="H10" s="4">
        <v>15946.84</v>
      </c>
      <c r="I10" s="1">
        <v>2017</v>
      </c>
      <c r="J10" s="2">
        <v>5</v>
      </c>
      <c r="K10" s="5">
        <v>13051.417000000001</v>
      </c>
      <c r="L10" s="5">
        <v>33114.873</v>
      </c>
      <c r="M10" s="5">
        <v>10515.7</v>
      </c>
      <c r="N10" s="5">
        <v>11877.140000000001</v>
      </c>
      <c r="O10" s="2">
        <v>2017</v>
      </c>
      <c r="P10" s="1">
        <v>5</v>
      </c>
      <c r="Q10" s="4">
        <v>5086.8119999999981</v>
      </c>
      <c r="R10" s="4">
        <v>64628.203999999998</v>
      </c>
      <c r="S10" s="4">
        <v>6457.9</v>
      </c>
      <c r="T10" s="4">
        <v>11204.06</v>
      </c>
      <c r="U10" s="1">
        <v>2017</v>
      </c>
      <c r="V10" s="2">
        <v>5</v>
      </c>
      <c r="W10" s="5">
        <v>17335.009999999995</v>
      </c>
      <c r="X10" s="5">
        <v>99657.502999999997</v>
      </c>
      <c r="Y10" s="5">
        <v>28016.270000000004</v>
      </c>
      <c r="Z10" s="5">
        <v>33465.730000000003</v>
      </c>
      <c r="AA10" s="2">
        <v>2017</v>
      </c>
      <c r="AB10" s="1">
        <v>5</v>
      </c>
      <c r="AC10" s="4">
        <v>0</v>
      </c>
      <c r="AD10" s="4">
        <v>0</v>
      </c>
      <c r="AE10" s="4">
        <v>0</v>
      </c>
      <c r="AF10" s="4">
        <v>0</v>
      </c>
      <c r="AG10" s="1">
        <v>2017</v>
      </c>
      <c r="AH10" s="2">
        <v>5</v>
      </c>
      <c r="AI10" s="5">
        <v>0</v>
      </c>
      <c r="AJ10" s="5">
        <v>0</v>
      </c>
      <c r="AK10" s="5">
        <v>0</v>
      </c>
      <c r="AL10" s="5">
        <v>0</v>
      </c>
      <c r="AM10" s="2">
        <v>2017</v>
      </c>
      <c r="AN10" s="1">
        <v>5</v>
      </c>
      <c r="AO10" s="4">
        <v>0</v>
      </c>
      <c r="AP10" s="4">
        <v>0</v>
      </c>
      <c r="AQ10" s="4">
        <v>0</v>
      </c>
      <c r="AR10" s="4">
        <v>0</v>
      </c>
      <c r="AS10" s="1">
        <v>2017</v>
      </c>
      <c r="AT10" s="2">
        <v>5</v>
      </c>
      <c r="AU10" s="5">
        <v>0</v>
      </c>
      <c r="AV10" s="5">
        <v>0</v>
      </c>
      <c r="AW10" s="5">
        <v>0</v>
      </c>
      <c r="AX10" s="5">
        <v>0</v>
      </c>
      <c r="AY10" s="2">
        <v>2017</v>
      </c>
      <c r="AZ10" s="1">
        <v>5</v>
      </c>
      <c r="BA10" s="4">
        <v>0</v>
      </c>
      <c r="BB10" s="4">
        <v>0</v>
      </c>
      <c r="BC10" s="4">
        <v>0</v>
      </c>
      <c r="BD10" s="4">
        <v>0</v>
      </c>
      <c r="BE10" s="1">
        <v>2017</v>
      </c>
      <c r="BF10" s="2">
        <v>5</v>
      </c>
      <c r="BG10" s="5">
        <f t="shared" si="1"/>
        <v>48679.204999999994</v>
      </c>
      <c r="BH10" s="5">
        <f t="shared" si="0"/>
        <v>277522.10699999996</v>
      </c>
      <c r="BI10" s="5">
        <f t="shared" si="0"/>
        <v>58210.450000000004</v>
      </c>
      <c r="BJ10" s="5">
        <f t="shared" si="0"/>
        <v>72493.77</v>
      </c>
      <c r="BK10" s="2">
        <v>2017</v>
      </c>
    </row>
    <row r="11" spans="3:63" outlineLevel="1" x14ac:dyDescent="0.35">
      <c r="C11" s="3">
        <v>42887</v>
      </c>
      <c r="D11" s="1">
        <v>6</v>
      </c>
      <c r="E11" s="4">
        <v>10415.509999999995</v>
      </c>
      <c r="F11" s="4">
        <v>90537.036999999997</v>
      </c>
      <c r="G11" s="4">
        <v>12323.280000000002</v>
      </c>
      <c r="H11" s="4">
        <v>28270.120000000003</v>
      </c>
      <c r="I11" s="1">
        <v>2017</v>
      </c>
      <c r="J11" s="2">
        <v>6</v>
      </c>
      <c r="K11" s="5">
        <v>17898.93</v>
      </c>
      <c r="L11" s="5">
        <v>51013.803</v>
      </c>
      <c r="M11" s="5">
        <v>12518.85</v>
      </c>
      <c r="N11" s="5">
        <v>24395.99</v>
      </c>
      <c r="O11" s="2">
        <v>2017</v>
      </c>
      <c r="P11" s="1">
        <v>6</v>
      </c>
      <c r="Q11" s="4">
        <v>1422.5230000000156</v>
      </c>
      <c r="R11" s="4">
        <v>66050.727000000014</v>
      </c>
      <c r="S11" s="4">
        <v>3639.3000000000011</v>
      </c>
      <c r="T11" s="4">
        <v>14843.36</v>
      </c>
      <c r="U11" s="1">
        <v>2017</v>
      </c>
      <c r="V11" s="2">
        <v>6</v>
      </c>
      <c r="W11" s="5">
        <v>30736.309999999998</v>
      </c>
      <c r="X11" s="5">
        <v>130393.81299999999</v>
      </c>
      <c r="Y11" s="5">
        <v>26050.18</v>
      </c>
      <c r="Z11" s="5">
        <v>59515.91</v>
      </c>
      <c r="AA11" s="2">
        <v>2017</v>
      </c>
      <c r="AB11" s="1">
        <v>6</v>
      </c>
      <c r="AC11" s="4">
        <v>0</v>
      </c>
      <c r="AD11" s="4">
        <v>0</v>
      </c>
      <c r="AE11" s="4">
        <v>0</v>
      </c>
      <c r="AF11" s="4">
        <v>0</v>
      </c>
      <c r="AG11" s="1">
        <v>2017</v>
      </c>
      <c r="AH11" s="2">
        <v>6</v>
      </c>
      <c r="AI11" s="5">
        <v>0</v>
      </c>
      <c r="AJ11" s="5">
        <v>0</v>
      </c>
      <c r="AK11" s="5">
        <v>0</v>
      </c>
      <c r="AL11" s="5">
        <v>0</v>
      </c>
      <c r="AM11" s="2">
        <v>2017</v>
      </c>
      <c r="AN11" s="1">
        <v>6</v>
      </c>
      <c r="AO11" s="4">
        <v>0</v>
      </c>
      <c r="AP11" s="4">
        <v>0</v>
      </c>
      <c r="AQ11" s="4">
        <v>0</v>
      </c>
      <c r="AR11" s="4">
        <v>0</v>
      </c>
      <c r="AS11" s="1">
        <v>2017</v>
      </c>
      <c r="AT11" s="2">
        <v>6</v>
      </c>
      <c r="AU11" s="5">
        <v>0</v>
      </c>
      <c r="AV11" s="5">
        <v>0</v>
      </c>
      <c r="AW11" s="5">
        <v>0</v>
      </c>
      <c r="AX11" s="5">
        <v>0</v>
      </c>
      <c r="AY11" s="2">
        <v>2017</v>
      </c>
      <c r="AZ11" s="1">
        <v>6</v>
      </c>
      <c r="BA11" s="4">
        <v>0</v>
      </c>
      <c r="BB11" s="4">
        <v>0</v>
      </c>
      <c r="BC11" s="4">
        <v>0</v>
      </c>
      <c r="BD11" s="4">
        <v>0</v>
      </c>
      <c r="BE11" s="1">
        <v>2017</v>
      </c>
      <c r="BF11" s="2">
        <v>6</v>
      </c>
      <c r="BG11" s="5">
        <f t="shared" si="1"/>
        <v>60473.273000000008</v>
      </c>
      <c r="BH11" s="5">
        <f t="shared" si="0"/>
        <v>337995.38</v>
      </c>
      <c r="BI11" s="5">
        <f t="shared" si="0"/>
        <v>54531.610000000008</v>
      </c>
      <c r="BJ11" s="5">
        <f t="shared" si="0"/>
        <v>127025.38</v>
      </c>
      <c r="BK11" s="2">
        <v>2017</v>
      </c>
    </row>
    <row r="12" spans="3:63" outlineLevel="1" x14ac:dyDescent="0.35">
      <c r="C12" s="3">
        <v>42917</v>
      </c>
      <c r="D12" s="1">
        <v>7</v>
      </c>
      <c r="E12" s="4">
        <v>13113.410000000003</v>
      </c>
      <c r="F12" s="4">
        <v>103650.447</v>
      </c>
      <c r="G12" s="4">
        <v>4633.6599999999962</v>
      </c>
      <c r="H12" s="4">
        <v>32903.78</v>
      </c>
      <c r="I12" s="1">
        <v>2017</v>
      </c>
      <c r="J12" s="2">
        <v>7</v>
      </c>
      <c r="K12" s="5">
        <v>25728.156000000003</v>
      </c>
      <c r="L12" s="5">
        <v>76741.959000000003</v>
      </c>
      <c r="M12" s="5">
        <v>12383.920000000002</v>
      </c>
      <c r="N12" s="5">
        <v>36779.910000000003</v>
      </c>
      <c r="O12" s="2">
        <v>2017</v>
      </c>
      <c r="P12" s="1">
        <v>7</v>
      </c>
      <c r="Q12" s="4">
        <v>6291.333999999988</v>
      </c>
      <c r="R12" s="4">
        <v>72342.061000000002</v>
      </c>
      <c r="S12" s="4">
        <v>4997.260000000002</v>
      </c>
      <c r="T12" s="4">
        <v>19840.620000000003</v>
      </c>
      <c r="U12" s="1">
        <v>2017</v>
      </c>
      <c r="V12" s="2">
        <v>7</v>
      </c>
      <c r="W12" s="5">
        <v>10571.133000000002</v>
      </c>
      <c r="X12" s="5">
        <v>140964.946</v>
      </c>
      <c r="Y12" s="5">
        <v>3239.8600000000006</v>
      </c>
      <c r="Z12" s="5">
        <v>62755.770000000004</v>
      </c>
      <c r="AA12" s="2">
        <v>2017</v>
      </c>
      <c r="AB12" s="1">
        <v>7</v>
      </c>
      <c r="AC12" s="4">
        <v>0</v>
      </c>
      <c r="AD12" s="4">
        <v>0</v>
      </c>
      <c r="AE12" s="4">
        <v>0</v>
      </c>
      <c r="AF12" s="4">
        <v>0</v>
      </c>
      <c r="AG12" s="1">
        <v>2017</v>
      </c>
      <c r="AH12" s="2">
        <v>7</v>
      </c>
      <c r="AI12" s="5">
        <v>0</v>
      </c>
      <c r="AJ12" s="5">
        <v>0</v>
      </c>
      <c r="AK12" s="5">
        <v>0</v>
      </c>
      <c r="AL12" s="5">
        <v>0</v>
      </c>
      <c r="AM12" s="2">
        <v>2017</v>
      </c>
      <c r="AN12" s="1">
        <v>7</v>
      </c>
      <c r="AO12" s="4">
        <v>0</v>
      </c>
      <c r="AP12" s="4">
        <v>0</v>
      </c>
      <c r="AQ12" s="4">
        <v>0</v>
      </c>
      <c r="AR12" s="4">
        <v>0</v>
      </c>
      <c r="AS12" s="1">
        <v>2017</v>
      </c>
      <c r="AT12" s="2">
        <v>7</v>
      </c>
      <c r="AU12" s="5">
        <v>0</v>
      </c>
      <c r="AV12" s="5">
        <v>0</v>
      </c>
      <c r="AW12" s="5">
        <v>0</v>
      </c>
      <c r="AX12" s="5">
        <v>0</v>
      </c>
      <c r="AY12" s="2">
        <v>2017</v>
      </c>
      <c r="AZ12" s="1">
        <v>7</v>
      </c>
      <c r="BA12" s="4">
        <v>0</v>
      </c>
      <c r="BB12" s="4">
        <v>0</v>
      </c>
      <c r="BC12" s="4">
        <v>0</v>
      </c>
      <c r="BD12" s="4">
        <v>0</v>
      </c>
      <c r="BE12" s="1">
        <v>2017</v>
      </c>
      <c r="BF12" s="2">
        <v>7</v>
      </c>
      <c r="BG12" s="5">
        <f t="shared" si="1"/>
        <v>55704.032999999996</v>
      </c>
      <c r="BH12" s="5">
        <f t="shared" si="0"/>
        <v>393699.413</v>
      </c>
      <c r="BI12" s="5">
        <f t="shared" si="0"/>
        <v>25254.7</v>
      </c>
      <c r="BJ12" s="5">
        <f t="shared" si="0"/>
        <v>152280.08000000002</v>
      </c>
      <c r="BK12" s="2">
        <v>2017</v>
      </c>
    </row>
    <row r="13" spans="3:63" outlineLevel="1" x14ac:dyDescent="0.35">
      <c r="C13" s="3">
        <v>42948</v>
      </c>
      <c r="D13" s="1">
        <v>8</v>
      </c>
      <c r="E13" s="4">
        <v>1537</v>
      </c>
      <c r="F13" s="4">
        <v>105187.447</v>
      </c>
      <c r="G13" s="4">
        <v>4566.68</v>
      </c>
      <c r="H13" s="4">
        <v>37470.46</v>
      </c>
      <c r="I13" s="1">
        <v>2017</v>
      </c>
      <c r="J13" s="2">
        <v>8</v>
      </c>
      <c r="K13" s="5">
        <v>7145.6739999999991</v>
      </c>
      <c r="L13" s="5">
        <v>83887.633000000002</v>
      </c>
      <c r="M13" s="5">
        <v>6192.9700000000012</v>
      </c>
      <c r="N13" s="5">
        <v>42972.880000000005</v>
      </c>
      <c r="O13" s="2">
        <v>2017</v>
      </c>
      <c r="P13" s="1">
        <v>8</v>
      </c>
      <c r="Q13" s="4">
        <v>13040.013999999996</v>
      </c>
      <c r="R13" s="4">
        <v>85382.074999999997</v>
      </c>
      <c r="S13" s="4">
        <v>5690.9000000000015</v>
      </c>
      <c r="T13" s="4">
        <v>25531.520000000004</v>
      </c>
      <c r="U13" s="1">
        <v>2017</v>
      </c>
      <c r="V13" s="2">
        <v>8</v>
      </c>
      <c r="W13" s="5">
        <v>7827.0499999999884</v>
      </c>
      <c r="X13" s="5">
        <v>148791.99599999998</v>
      </c>
      <c r="Y13" s="5">
        <v>2386.0599999999977</v>
      </c>
      <c r="Z13" s="5">
        <v>65141.83</v>
      </c>
      <c r="AA13" s="2">
        <v>2017</v>
      </c>
      <c r="AB13" s="1">
        <v>8</v>
      </c>
      <c r="AC13" s="4">
        <v>0</v>
      </c>
      <c r="AD13" s="4">
        <v>0</v>
      </c>
      <c r="AE13" s="4">
        <v>0</v>
      </c>
      <c r="AF13" s="4">
        <v>0</v>
      </c>
      <c r="AG13" s="1">
        <v>2017</v>
      </c>
      <c r="AH13" s="2">
        <v>8</v>
      </c>
      <c r="AI13" s="5">
        <v>0</v>
      </c>
      <c r="AJ13" s="5">
        <v>0</v>
      </c>
      <c r="AK13" s="5">
        <v>0</v>
      </c>
      <c r="AL13" s="5">
        <v>0</v>
      </c>
      <c r="AM13" s="2">
        <v>2017</v>
      </c>
      <c r="AN13" s="1">
        <v>8</v>
      </c>
      <c r="AO13" s="4">
        <v>0</v>
      </c>
      <c r="AP13" s="4">
        <v>0</v>
      </c>
      <c r="AQ13" s="4">
        <v>0</v>
      </c>
      <c r="AR13" s="4">
        <v>0</v>
      </c>
      <c r="AS13" s="1">
        <v>2017</v>
      </c>
      <c r="AT13" s="2">
        <v>8</v>
      </c>
      <c r="AU13" s="5">
        <v>0</v>
      </c>
      <c r="AV13" s="5">
        <v>0</v>
      </c>
      <c r="AW13" s="5">
        <v>0</v>
      </c>
      <c r="AX13" s="5">
        <v>0</v>
      </c>
      <c r="AY13" s="2">
        <v>2017</v>
      </c>
      <c r="AZ13" s="1">
        <v>8</v>
      </c>
      <c r="BA13" s="4">
        <v>0</v>
      </c>
      <c r="BB13" s="4">
        <v>0</v>
      </c>
      <c r="BC13" s="4">
        <v>0</v>
      </c>
      <c r="BD13" s="4">
        <v>0</v>
      </c>
      <c r="BE13" s="1">
        <v>2017</v>
      </c>
      <c r="BF13" s="2">
        <v>8</v>
      </c>
      <c r="BG13" s="5">
        <f t="shared" si="1"/>
        <v>29549.737999999983</v>
      </c>
      <c r="BH13" s="5">
        <f t="shared" si="0"/>
        <v>423249.15100000001</v>
      </c>
      <c r="BI13" s="5">
        <f t="shared" si="0"/>
        <v>18836.61</v>
      </c>
      <c r="BJ13" s="5">
        <f t="shared" si="0"/>
        <v>171116.69</v>
      </c>
      <c r="BK13" s="2">
        <v>2017</v>
      </c>
    </row>
    <row r="14" spans="3:63" outlineLevel="1" x14ac:dyDescent="0.35">
      <c r="C14" s="3">
        <v>42979</v>
      </c>
      <c r="D14" s="1">
        <v>9</v>
      </c>
      <c r="E14" s="4">
        <v>22610</v>
      </c>
      <c r="F14" s="4">
        <v>127797.447</v>
      </c>
      <c r="G14" s="4">
        <v>3940.5199999999968</v>
      </c>
      <c r="H14" s="4">
        <v>41410.979999999996</v>
      </c>
      <c r="I14" s="1">
        <v>2017</v>
      </c>
      <c r="J14" s="2">
        <v>9</v>
      </c>
      <c r="K14" s="5">
        <v>14721</v>
      </c>
      <c r="L14" s="5">
        <v>98608.633000000002</v>
      </c>
      <c r="M14" s="5">
        <v>3023.5899999999965</v>
      </c>
      <c r="N14" s="5">
        <v>45996.47</v>
      </c>
      <c r="O14" s="2">
        <v>2017</v>
      </c>
      <c r="P14" s="1">
        <v>9</v>
      </c>
      <c r="Q14" s="4">
        <v>2886</v>
      </c>
      <c r="R14" s="4">
        <v>88268.074999999997</v>
      </c>
      <c r="S14" s="4">
        <v>671.02000000000044</v>
      </c>
      <c r="T14" s="4">
        <v>26202.540000000005</v>
      </c>
      <c r="U14" s="1">
        <v>2017</v>
      </c>
      <c r="V14" s="2">
        <v>9</v>
      </c>
      <c r="W14" s="5">
        <v>6558</v>
      </c>
      <c r="X14" s="5">
        <v>155349.99599999998</v>
      </c>
      <c r="Y14" s="5">
        <v>614.39999999999418</v>
      </c>
      <c r="Z14" s="5">
        <v>65756.23</v>
      </c>
      <c r="AA14" s="2">
        <v>2017</v>
      </c>
      <c r="AB14" s="1">
        <v>9</v>
      </c>
      <c r="AC14" s="4">
        <v>0</v>
      </c>
      <c r="AD14" s="4">
        <v>0</v>
      </c>
      <c r="AE14" s="4">
        <v>0</v>
      </c>
      <c r="AF14" s="4">
        <v>0</v>
      </c>
      <c r="AG14" s="1">
        <v>2017</v>
      </c>
      <c r="AH14" s="2">
        <v>9</v>
      </c>
      <c r="AI14" s="5">
        <v>0</v>
      </c>
      <c r="AJ14" s="5">
        <v>0</v>
      </c>
      <c r="AK14" s="5">
        <v>0</v>
      </c>
      <c r="AL14" s="5">
        <v>0</v>
      </c>
      <c r="AM14" s="2">
        <v>2017</v>
      </c>
      <c r="AN14" s="1">
        <v>9</v>
      </c>
      <c r="AO14" s="4">
        <v>0</v>
      </c>
      <c r="AP14" s="4">
        <v>0</v>
      </c>
      <c r="AQ14" s="4">
        <v>0</v>
      </c>
      <c r="AR14" s="4">
        <v>0</v>
      </c>
      <c r="AS14" s="1">
        <v>2017</v>
      </c>
      <c r="AT14" s="2">
        <v>9</v>
      </c>
      <c r="AU14" s="5">
        <v>0</v>
      </c>
      <c r="AV14" s="5">
        <v>0</v>
      </c>
      <c r="AW14" s="5">
        <v>0</v>
      </c>
      <c r="AX14" s="5">
        <v>0</v>
      </c>
      <c r="AY14" s="2">
        <v>2017</v>
      </c>
      <c r="AZ14" s="1">
        <v>9</v>
      </c>
      <c r="BA14" s="4">
        <v>0</v>
      </c>
      <c r="BB14" s="4">
        <v>0</v>
      </c>
      <c r="BC14" s="4">
        <v>0</v>
      </c>
      <c r="BD14" s="4">
        <v>0</v>
      </c>
      <c r="BE14" s="1">
        <v>2017</v>
      </c>
      <c r="BF14" s="2">
        <v>9</v>
      </c>
      <c r="BG14" s="5">
        <f t="shared" si="1"/>
        <v>46775</v>
      </c>
      <c r="BH14" s="5">
        <f t="shared" si="0"/>
        <v>470024.15100000001</v>
      </c>
      <c r="BI14" s="5">
        <f t="shared" si="0"/>
        <v>8249.5299999999879</v>
      </c>
      <c r="BJ14" s="5">
        <f t="shared" si="0"/>
        <v>179366.22</v>
      </c>
      <c r="BK14" s="2">
        <v>2017</v>
      </c>
    </row>
    <row r="15" spans="3:63" outlineLevel="1" x14ac:dyDescent="0.35">
      <c r="C15" s="3">
        <v>43009</v>
      </c>
      <c r="D15" s="1">
        <v>10</v>
      </c>
      <c r="E15" s="4">
        <v>7691.3800000000192</v>
      </c>
      <c r="F15" s="4">
        <v>135488.82700000002</v>
      </c>
      <c r="G15" s="4">
        <v>956.5199999999968</v>
      </c>
      <c r="H15" s="4">
        <v>42367.499999999993</v>
      </c>
      <c r="I15" s="1">
        <v>2017</v>
      </c>
      <c r="J15" s="2">
        <v>10</v>
      </c>
      <c r="K15" s="5">
        <v>6688.8959999999934</v>
      </c>
      <c r="L15" s="5">
        <v>105297.52899999999</v>
      </c>
      <c r="M15" s="5">
        <v>2202.7200000000012</v>
      </c>
      <c r="N15" s="5">
        <v>48199.19</v>
      </c>
      <c r="O15" s="2">
        <v>2017</v>
      </c>
      <c r="P15" s="1">
        <v>10</v>
      </c>
      <c r="Q15" s="4">
        <v>898.88799999999173</v>
      </c>
      <c r="R15" s="4">
        <v>89166.962999999989</v>
      </c>
      <c r="S15" s="4">
        <v>915.58000000000175</v>
      </c>
      <c r="T15" s="4">
        <v>27118.120000000006</v>
      </c>
      <c r="U15" s="1">
        <v>2017</v>
      </c>
      <c r="V15" s="2">
        <v>10</v>
      </c>
      <c r="W15" s="5">
        <v>1274.9650000000256</v>
      </c>
      <c r="X15" s="5">
        <v>156624.96100000001</v>
      </c>
      <c r="Y15" s="5">
        <v>365</v>
      </c>
      <c r="Z15" s="5">
        <v>66121.23</v>
      </c>
      <c r="AA15" s="2">
        <v>2017</v>
      </c>
      <c r="AB15" s="1">
        <v>10</v>
      </c>
      <c r="AC15" s="4">
        <v>0</v>
      </c>
      <c r="AD15" s="4">
        <v>0</v>
      </c>
      <c r="AE15" s="4">
        <v>0</v>
      </c>
      <c r="AF15" s="4">
        <v>0</v>
      </c>
      <c r="AG15" s="1">
        <v>2017</v>
      </c>
      <c r="AH15" s="2">
        <v>10</v>
      </c>
      <c r="AI15" s="5">
        <v>0</v>
      </c>
      <c r="AJ15" s="5">
        <v>0</v>
      </c>
      <c r="AK15" s="5">
        <v>0</v>
      </c>
      <c r="AL15" s="5">
        <v>0</v>
      </c>
      <c r="AM15" s="2">
        <v>2017</v>
      </c>
      <c r="AN15" s="1">
        <v>10</v>
      </c>
      <c r="AO15" s="4">
        <v>0</v>
      </c>
      <c r="AP15" s="4">
        <v>0</v>
      </c>
      <c r="AQ15" s="4">
        <v>0</v>
      </c>
      <c r="AR15" s="4">
        <v>0</v>
      </c>
      <c r="AS15" s="1">
        <v>2017</v>
      </c>
      <c r="AT15" s="2">
        <v>10</v>
      </c>
      <c r="AU15" s="5">
        <v>0</v>
      </c>
      <c r="AV15" s="5">
        <v>0</v>
      </c>
      <c r="AW15" s="5">
        <v>0</v>
      </c>
      <c r="AX15" s="5">
        <v>0</v>
      </c>
      <c r="AY15" s="2">
        <v>2017</v>
      </c>
      <c r="AZ15" s="1">
        <v>10</v>
      </c>
      <c r="BA15" s="4">
        <v>0</v>
      </c>
      <c r="BB15" s="4">
        <v>0</v>
      </c>
      <c r="BC15" s="4">
        <v>0</v>
      </c>
      <c r="BD15" s="4">
        <v>0</v>
      </c>
      <c r="BE15" s="1">
        <v>2017</v>
      </c>
      <c r="BF15" s="2">
        <v>10</v>
      </c>
      <c r="BG15" s="5">
        <f t="shared" si="1"/>
        <v>16554.12900000003</v>
      </c>
      <c r="BH15" s="5">
        <f t="shared" si="0"/>
        <v>486578.28</v>
      </c>
      <c r="BI15" s="5">
        <f t="shared" si="0"/>
        <v>4439.82</v>
      </c>
      <c r="BJ15" s="5">
        <f t="shared" si="0"/>
        <v>183806.04</v>
      </c>
      <c r="BK15" s="2">
        <v>2017</v>
      </c>
    </row>
    <row r="16" spans="3:63" outlineLevel="1" x14ac:dyDescent="0.35">
      <c r="C16" s="3">
        <v>43040</v>
      </c>
      <c r="D16" s="1">
        <v>11</v>
      </c>
      <c r="E16" s="4">
        <v>30294</v>
      </c>
      <c r="F16" s="4">
        <v>165782.82700000002</v>
      </c>
      <c r="G16" s="4">
        <v>13364.200000000004</v>
      </c>
      <c r="H16" s="4">
        <v>55731.7</v>
      </c>
      <c r="I16" s="1">
        <v>2017</v>
      </c>
      <c r="J16" s="2">
        <v>11</v>
      </c>
      <c r="K16" s="5">
        <v>6649</v>
      </c>
      <c r="L16" s="5">
        <v>111946.52899999999</v>
      </c>
      <c r="M16" s="5">
        <v>646.63999999999942</v>
      </c>
      <c r="N16" s="5">
        <v>48845.83</v>
      </c>
      <c r="O16" s="2">
        <v>2017</v>
      </c>
      <c r="P16" s="1">
        <v>11</v>
      </c>
      <c r="Q16" s="4">
        <v>15874</v>
      </c>
      <c r="R16" s="4">
        <v>105040.96299999999</v>
      </c>
      <c r="S16" s="4">
        <v>261.08000000000175</v>
      </c>
      <c r="T16" s="4">
        <v>27379.200000000008</v>
      </c>
      <c r="U16" s="1">
        <v>2017</v>
      </c>
      <c r="V16" s="2">
        <v>11</v>
      </c>
      <c r="W16" s="5">
        <v>2049</v>
      </c>
      <c r="X16" s="5">
        <v>158673.96100000001</v>
      </c>
      <c r="Y16" s="5">
        <v>461.24000000000524</v>
      </c>
      <c r="Z16" s="5">
        <v>66582.47</v>
      </c>
      <c r="AA16" s="2">
        <v>2017</v>
      </c>
      <c r="AB16" s="1">
        <v>11</v>
      </c>
      <c r="AC16" s="4">
        <v>0</v>
      </c>
      <c r="AD16" s="4">
        <v>0</v>
      </c>
      <c r="AE16" s="4">
        <v>0</v>
      </c>
      <c r="AF16" s="4">
        <v>0</v>
      </c>
      <c r="AG16" s="1">
        <v>2017</v>
      </c>
      <c r="AH16" s="2">
        <v>11</v>
      </c>
      <c r="AI16" s="5">
        <v>0</v>
      </c>
      <c r="AJ16" s="5">
        <v>0</v>
      </c>
      <c r="AK16" s="5">
        <v>0</v>
      </c>
      <c r="AL16" s="5">
        <v>0</v>
      </c>
      <c r="AM16" s="2">
        <v>2017</v>
      </c>
      <c r="AN16" s="1">
        <v>11</v>
      </c>
      <c r="AO16" s="4">
        <v>0</v>
      </c>
      <c r="AP16" s="4">
        <v>0</v>
      </c>
      <c r="AQ16" s="4">
        <v>0</v>
      </c>
      <c r="AR16" s="4">
        <v>0</v>
      </c>
      <c r="AS16" s="1">
        <v>2017</v>
      </c>
      <c r="AT16" s="2">
        <v>11</v>
      </c>
      <c r="AU16" s="5">
        <v>0</v>
      </c>
      <c r="AV16" s="5">
        <v>0</v>
      </c>
      <c r="AW16" s="5">
        <v>0</v>
      </c>
      <c r="AX16" s="5">
        <v>0</v>
      </c>
      <c r="AY16" s="2">
        <v>2017</v>
      </c>
      <c r="AZ16" s="1">
        <v>11</v>
      </c>
      <c r="BA16" s="4">
        <v>0</v>
      </c>
      <c r="BB16" s="4">
        <v>0</v>
      </c>
      <c r="BC16" s="4">
        <v>0</v>
      </c>
      <c r="BD16" s="4">
        <v>0</v>
      </c>
      <c r="BE16" s="1">
        <v>2017</v>
      </c>
      <c r="BF16" s="2">
        <v>11</v>
      </c>
      <c r="BG16" s="5">
        <f t="shared" si="1"/>
        <v>54866</v>
      </c>
      <c r="BH16" s="5">
        <f t="shared" si="0"/>
        <v>541444.28</v>
      </c>
      <c r="BI16" s="5">
        <f t="shared" si="0"/>
        <v>14733.160000000011</v>
      </c>
      <c r="BJ16" s="5">
        <f t="shared" si="0"/>
        <v>198539.2</v>
      </c>
      <c r="BK16" s="2">
        <v>2017</v>
      </c>
    </row>
    <row r="17" spans="3:63" outlineLevel="1" x14ac:dyDescent="0.35">
      <c r="C17" s="3">
        <v>43070</v>
      </c>
      <c r="D17" s="1">
        <v>12</v>
      </c>
      <c r="E17" s="4">
        <v>837</v>
      </c>
      <c r="F17" s="4">
        <v>166619.82700000002</v>
      </c>
      <c r="G17" s="4">
        <v>393.30000000000291</v>
      </c>
      <c r="H17" s="4">
        <v>56125</v>
      </c>
      <c r="I17" s="1">
        <v>2017</v>
      </c>
      <c r="J17" s="2">
        <v>12</v>
      </c>
      <c r="K17" s="5">
        <v>9206</v>
      </c>
      <c r="L17" s="5">
        <v>121152.52899999999</v>
      </c>
      <c r="M17" s="5">
        <v>1604.0599999999977</v>
      </c>
      <c r="N17" s="5">
        <v>50449.89</v>
      </c>
      <c r="O17" s="2">
        <v>2017</v>
      </c>
      <c r="P17" s="1">
        <v>12</v>
      </c>
      <c r="Q17" s="4">
        <v>7730</v>
      </c>
      <c r="R17" s="4">
        <v>112770.96299999999</v>
      </c>
      <c r="S17" s="4">
        <v>9.3400000000001455</v>
      </c>
      <c r="T17" s="4">
        <v>27388.540000000008</v>
      </c>
      <c r="U17" s="1">
        <v>2017</v>
      </c>
      <c r="V17" s="2">
        <v>12</v>
      </c>
      <c r="W17" s="5">
        <v>1601.9219999999914</v>
      </c>
      <c r="X17" s="5">
        <v>160275.883</v>
      </c>
      <c r="Y17" s="5">
        <v>183.10000000000582</v>
      </c>
      <c r="Z17" s="5">
        <v>66765.570000000007</v>
      </c>
      <c r="AA17" s="2">
        <v>2017</v>
      </c>
      <c r="AB17" s="1">
        <v>12</v>
      </c>
      <c r="AC17" s="4">
        <v>0</v>
      </c>
      <c r="AD17" s="4">
        <v>0</v>
      </c>
      <c r="AE17" s="4">
        <v>0</v>
      </c>
      <c r="AF17" s="4">
        <v>0</v>
      </c>
      <c r="AG17" s="1">
        <v>2017</v>
      </c>
      <c r="AH17" s="2">
        <v>12</v>
      </c>
      <c r="AI17" s="5">
        <v>0</v>
      </c>
      <c r="AJ17" s="5">
        <v>0</v>
      </c>
      <c r="AK17" s="5">
        <v>0</v>
      </c>
      <c r="AL17" s="5">
        <v>0</v>
      </c>
      <c r="AM17" s="2">
        <v>2017</v>
      </c>
      <c r="AN17" s="1">
        <v>12</v>
      </c>
      <c r="AO17" s="4">
        <v>0</v>
      </c>
      <c r="AP17" s="4">
        <v>0</v>
      </c>
      <c r="AQ17" s="4">
        <v>0</v>
      </c>
      <c r="AR17" s="4">
        <v>0</v>
      </c>
      <c r="AS17" s="1">
        <v>2017</v>
      </c>
      <c r="AT17" s="2">
        <v>12</v>
      </c>
      <c r="AU17" s="5">
        <v>0</v>
      </c>
      <c r="AV17" s="5">
        <v>0</v>
      </c>
      <c r="AW17" s="5">
        <v>0</v>
      </c>
      <c r="AX17" s="5">
        <v>0</v>
      </c>
      <c r="AY17" s="2">
        <v>2017</v>
      </c>
      <c r="AZ17" s="1">
        <v>12</v>
      </c>
      <c r="BA17" s="4">
        <v>0</v>
      </c>
      <c r="BB17" s="4">
        <v>0</v>
      </c>
      <c r="BC17" s="4">
        <v>0</v>
      </c>
      <c r="BD17" s="4">
        <v>0</v>
      </c>
      <c r="BE17" s="1">
        <v>2017</v>
      </c>
      <c r="BF17" s="2">
        <v>12</v>
      </c>
      <c r="BG17" s="5">
        <f t="shared" si="1"/>
        <v>19374.921999999991</v>
      </c>
      <c r="BH17" s="5">
        <f t="shared" si="0"/>
        <v>560819.20200000005</v>
      </c>
      <c r="BI17" s="5">
        <f t="shared" si="0"/>
        <v>2189.8000000000065</v>
      </c>
      <c r="BJ17" s="5">
        <f t="shared" si="0"/>
        <v>200729</v>
      </c>
      <c r="BK17" s="2">
        <v>2017</v>
      </c>
    </row>
    <row r="18" spans="3:63" outlineLevel="1" x14ac:dyDescent="0.35">
      <c r="C18" s="3">
        <v>43101</v>
      </c>
      <c r="D18" s="1">
        <v>1</v>
      </c>
      <c r="E18" s="4">
        <v>20627.64</v>
      </c>
      <c r="F18" s="4">
        <v>20627.64</v>
      </c>
      <c r="G18" s="4">
        <v>0</v>
      </c>
      <c r="H18" s="4">
        <v>0</v>
      </c>
      <c r="I18" s="1">
        <v>2018</v>
      </c>
      <c r="J18" s="2">
        <v>1</v>
      </c>
      <c r="K18" s="5">
        <v>30382.417000000001</v>
      </c>
      <c r="L18" s="5">
        <v>30382.417000000001</v>
      </c>
      <c r="M18" s="5">
        <v>3307.8</v>
      </c>
      <c r="N18" s="5">
        <v>3307.8</v>
      </c>
      <c r="O18" s="2">
        <v>2018</v>
      </c>
      <c r="P18" s="1">
        <v>1</v>
      </c>
      <c r="Q18" s="4">
        <v>26649.675999999999</v>
      </c>
      <c r="R18" s="4">
        <v>26649.675999999999</v>
      </c>
      <c r="S18" s="4">
        <v>33.32</v>
      </c>
      <c r="T18" s="4">
        <v>33.32</v>
      </c>
      <c r="U18" s="1">
        <v>2018</v>
      </c>
      <c r="V18" s="2">
        <v>1</v>
      </c>
      <c r="W18" s="5">
        <v>41005.358</v>
      </c>
      <c r="X18" s="5">
        <v>41005.358</v>
      </c>
      <c r="Y18" s="5">
        <v>730.06</v>
      </c>
      <c r="Z18" s="5">
        <v>730.06</v>
      </c>
      <c r="AA18" s="2">
        <v>2018</v>
      </c>
      <c r="AB18" s="1">
        <v>1</v>
      </c>
      <c r="AC18" s="4">
        <v>5254.4</v>
      </c>
      <c r="AD18" s="4">
        <v>5254.4</v>
      </c>
      <c r="AE18" s="4">
        <v>3693.2</v>
      </c>
      <c r="AF18" s="4">
        <v>3693.2</v>
      </c>
      <c r="AG18" s="1">
        <v>2018</v>
      </c>
      <c r="AH18" s="2">
        <v>1</v>
      </c>
      <c r="AI18" s="5">
        <v>11197</v>
      </c>
      <c r="AJ18" s="5">
        <v>11197</v>
      </c>
      <c r="AK18" s="5">
        <v>7043.6</v>
      </c>
      <c r="AL18" s="5">
        <v>7043.6</v>
      </c>
      <c r="AM18" s="2">
        <v>2018</v>
      </c>
      <c r="AN18" s="1">
        <v>1</v>
      </c>
      <c r="AO18" s="4">
        <v>9001</v>
      </c>
      <c r="AP18" s="4">
        <v>9001</v>
      </c>
      <c r="AQ18" s="4">
        <v>6150.6</v>
      </c>
      <c r="AR18" s="4">
        <v>6150.6</v>
      </c>
      <c r="AS18" s="1">
        <v>2018</v>
      </c>
      <c r="AT18" s="2">
        <v>1</v>
      </c>
      <c r="AU18" s="5">
        <v>11465.6</v>
      </c>
      <c r="AV18" s="5">
        <v>11465.6</v>
      </c>
      <c r="AW18" s="5">
        <v>0</v>
      </c>
      <c r="AX18" s="5">
        <v>0</v>
      </c>
      <c r="AY18" s="2">
        <v>2018</v>
      </c>
      <c r="AZ18" s="1">
        <v>1</v>
      </c>
      <c r="BA18" s="4">
        <v>5279</v>
      </c>
      <c r="BB18" s="4">
        <v>5279</v>
      </c>
      <c r="BC18" s="4">
        <v>2712.2</v>
      </c>
      <c r="BD18" s="4">
        <v>2712.2</v>
      </c>
      <c r="BE18" s="1">
        <v>2018</v>
      </c>
      <c r="BF18" s="2">
        <v>1</v>
      </c>
      <c r="BG18" s="5">
        <f t="shared" si="1"/>
        <v>160862.09100000001</v>
      </c>
      <c r="BH18" s="5">
        <f t="shared" si="0"/>
        <v>160862.09100000001</v>
      </c>
      <c r="BI18" s="5">
        <f t="shared" si="0"/>
        <v>23670.780000000002</v>
      </c>
      <c r="BJ18" s="5">
        <f t="shared" si="0"/>
        <v>23670.780000000002</v>
      </c>
      <c r="BK18" s="2">
        <v>2018</v>
      </c>
    </row>
    <row r="19" spans="3:63" outlineLevel="1" x14ac:dyDescent="0.35">
      <c r="C19" s="3">
        <v>43132</v>
      </c>
      <c r="D19" s="1">
        <v>2</v>
      </c>
      <c r="E19" s="4">
        <v>4894.6939999999995</v>
      </c>
      <c r="F19" s="4">
        <v>25522.333999999999</v>
      </c>
      <c r="G19" s="4">
        <v>1212.8399999999999</v>
      </c>
      <c r="H19" s="4">
        <v>1212.8399999999999</v>
      </c>
      <c r="I19" s="1">
        <v>2018</v>
      </c>
      <c r="J19" s="2">
        <v>2</v>
      </c>
      <c r="K19" s="5">
        <v>11502.396999999997</v>
      </c>
      <c r="L19" s="5">
        <v>41884.813999999998</v>
      </c>
      <c r="M19" s="5">
        <v>204.38000000000011</v>
      </c>
      <c r="N19" s="5">
        <v>3512.1800000000003</v>
      </c>
      <c r="O19" s="2">
        <v>2018</v>
      </c>
      <c r="P19" s="1">
        <v>2</v>
      </c>
      <c r="Q19" s="4">
        <v>7255.7840000000069</v>
      </c>
      <c r="R19" s="4">
        <v>33905.460000000006</v>
      </c>
      <c r="S19" s="4">
        <v>3.0600000000000023</v>
      </c>
      <c r="T19" s="4">
        <v>36.380000000000003</v>
      </c>
      <c r="U19" s="1">
        <v>2018</v>
      </c>
      <c r="V19" s="2">
        <v>2</v>
      </c>
      <c r="W19" s="5">
        <v>8050.5650000000023</v>
      </c>
      <c r="X19" s="5">
        <v>49055.923000000003</v>
      </c>
      <c r="Y19" s="5">
        <v>1153.48</v>
      </c>
      <c r="Z19" s="5">
        <v>1883.54</v>
      </c>
      <c r="AA19" s="2">
        <v>2018</v>
      </c>
      <c r="AB19" s="1">
        <v>2</v>
      </c>
      <c r="AC19" s="4">
        <v>5254.4</v>
      </c>
      <c r="AD19" s="4">
        <v>10508.8</v>
      </c>
      <c r="AE19" s="4">
        <v>3693.2</v>
      </c>
      <c r="AF19" s="4">
        <v>7386.4</v>
      </c>
      <c r="AG19" s="1">
        <v>2018</v>
      </c>
      <c r="AH19" s="2">
        <v>2</v>
      </c>
      <c r="AI19" s="5">
        <v>11197</v>
      </c>
      <c r="AJ19" s="5">
        <v>22394</v>
      </c>
      <c r="AK19" s="5">
        <v>7043.6</v>
      </c>
      <c r="AL19" s="5">
        <v>14087.2</v>
      </c>
      <c r="AM19" s="2">
        <v>2018</v>
      </c>
      <c r="AN19" s="1">
        <v>2</v>
      </c>
      <c r="AO19" s="4">
        <v>9001</v>
      </c>
      <c r="AP19" s="4">
        <v>18002</v>
      </c>
      <c r="AQ19" s="4">
        <v>6150.6</v>
      </c>
      <c r="AR19" s="4">
        <v>12301.2</v>
      </c>
      <c r="AS19" s="1">
        <v>2018</v>
      </c>
      <c r="AT19" s="2">
        <v>2</v>
      </c>
      <c r="AU19" s="5">
        <v>11465.6</v>
      </c>
      <c r="AV19" s="5">
        <v>22931.200000000001</v>
      </c>
      <c r="AW19" s="5">
        <v>0</v>
      </c>
      <c r="AX19" s="5">
        <v>0</v>
      </c>
      <c r="AY19" s="2">
        <v>2018</v>
      </c>
      <c r="AZ19" s="1">
        <v>2</v>
      </c>
      <c r="BA19" s="4">
        <v>5279</v>
      </c>
      <c r="BB19" s="4">
        <v>10558</v>
      </c>
      <c r="BC19" s="4">
        <v>2712.2</v>
      </c>
      <c r="BD19" s="4">
        <v>5424.4</v>
      </c>
      <c r="BE19" s="1">
        <v>2018</v>
      </c>
      <c r="BF19" s="2">
        <v>2</v>
      </c>
      <c r="BG19" s="5">
        <f t="shared" si="1"/>
        <v>73900.44</v>
      </c>
      <c r="BH19" s="5">
        <f t="shared" si="0"/>
        <v>234762.53100000002</v>
      </c>
      <c r="BI19" s="5">
        <f t="shared" si="0"/>
        <v>22173.360000000004</v>
      </c>
      <c r="BJ19" s="5">
        <f t="shared" si="0"/>
        <v>45844.140000000007</v>
      </c>
      <c r="BK19" s="2">
        <v>2018</v>
      </c>
    </row>
    <row r="20" spans="3:63" outlineLevel="1" x14ac:dyDescent="0.35">
      <c r="C20" s="3">
        <v>43160</v>
      </c>
      <c r="D20" s="1">
        <v>3</v>
      </c>
      <c r="E20" s="4">
        <v>0</v>
      </c>
      <c r="F20" s="4">
        <v>25522.333999999999</v>
      </c>
      <c r="G20" s="4">
        <v>0</v>
      </c>
      <c r="H20" s="4">
        <v>1212.8399999999999</v>
      </c>
      <c r="I20" s="1">
        <v>2018</v>
      </c>
      <c r="J20" s="2">
        <v>3</v>
      </c>
      <c r="K20" s="5">
        <v>0</v>
      </c>
      <c r="L20" s="5">
        <v>41884.813999999998</v>
      </c>
      <c r="M20" s="5">
        <v>0</v>
      </c>
      <c r="N20" s="5">
        <v>3512.1800000000003</v>
      </c>
      <c r="O20" s="2">
        <v>2018</v>
      </c>
      <c r="P20" s="1">
        <v>3</v>
      </c>
      <c r="Q20" s="4">
        <v>0</v>
      </c>
      <c r="R20" s="4">
        <v>33905.460000000006</v>
      </c>
      <c r="S20" s="4">
        <v>0</v>
      </c>
      <c r="T20" s="4">
        <v>36.380000000000003</v>
      </c>
      <c r="U20" s="1">
        <v>2018</v>
      </c>
      <c r="V20" s="2">
        <v>3</v>
      </c>
      <c r="W20" s="5">
        <v>0</v>
      </c>
      <c r="X20" s="5">
        <v>49055.923000000003</v>
      </c>
      <c r="Y20" s="5">
        <v>0</v>
      </c>
      <c r="Z20" s="5">
        <v>1883.54</v>
      </c>
      <c r="AA20" s="2">
        <v>2018</v>
      </c>
      <c r="AB20" s="1">
        <v>3</v>
      </c>
      <c r="AC20" s="4">
        <v>5254.4</v>
      </c>
      <c r="AD20" s="4">
        <v>15763.199999999999</v>
      </c>
      <c r="AE20" s="4">
        <v>3693.1999999999989</v>
      </c>
      <c r="AF20" s="4">
        <v>11079.599999999999</v>
      </c>
      <c r="AG20" s="1">
        <v>2018</v>
      </c>
      <c r="AH20" s="2">
        <v>3</v>
      </c>
      <c r="AI20" s="5">
        <v>11197</v>
      </c>
      <c r="AJ20" s="5">
        <v>33591</v>
      </c>
      <c r="AK20" s="5">
        <v>7043.6000000000022</v>
      </c>
      <c r="AL20" s="5">
        <v>21130.800000000003</v>
      </c>
      <c r="AM20" s="2">
        <v>2018</v>
      </c>
      <c r="AN20" s="1">
        <v>3</v>
      </c>
      <c r="AO20" s="4">
        <v>9001</v>
      </c>
      <c r="AP20" s="4">
        <v>27003</v>
      </c>
      <c r="AQ20" s="4">
        <v>6150.6000000000022</v>
      </c>
      <c r="AR20" s="4">
        <v>18451.800000000003</v>
      </c>
      <c r="AS20" s="1">
        <v>2018</v>
      </c>
      <c r="AT20" s="2">
        <v>3</v>
      </c>
      <c r="AU20" s="5">
        <v>11465.600000000002</v>
      </c>
      <c r="AV20" s="5">
        <v>34396.800000000003</v>
      </c>
      <c r="AW20" s="5">
        <v>0</v>
      </c>
      <c r="AX20" s="5">
        <v>0</v>
      </c>
      <c r="AY20" s="2">
        <v>2018</v>
      </c>
      <c r="AZ20" s="1">
        <v>3</v>
      </c>
      <c r="BA20" s="4">
        <v>5279</v>
      </c>
      <c r="BB20" s="4">
        <v>15837</v>
      </c>
      <c r="BC20" s="4">
        <v>2712.2</v>
      </c>
      <c r="BD20" s="4">
        <v>8136.5999999999995</v>
      </c>
      <c r="BE20" s="1">
        <v>2018</v>
      </c>
      <c r="BF20" s="2">
        <v>3</v>
      </c>
      <c r="BG20" s="5">
        <f t="shared" si="1"/>
        <v>42197</v>
      </c>
      <c r="BH20" s="5">
        <f t="shared" si="0"/>
        <v>276959.53100000002</v>
      </c>
      <c r="BI20" s="5">
        <f t="shared" si="0"/>
        <v>19599.600000000002</v>
      </c>
      <c r="BJ20" s="5">
        <f t="shared" si="0"/>
        <v>65443.740000000005</v>
      </c>
      <c r="BK20" s="2">
        <v>2018</v>
      </c>
    </row>
    <row r="21" spans="3:63" outlineLevel="1" x14ac:dyDescent="0.35">
      <c r="C21" s="3">
        <v>43191</v>
      </c>
      <c r="D21" s="1">
        <v>4</v>
      </c>
      <c r="E21" s="4">
        <v>29392.000000000004</v>
      </c>
      <c r="F21" s="4">
        <v>54914.334000000003</v>
      </c>
      <c r="G21" s="4">
        <v>2935</v>
      </c>
      <c r="H21" s="4">
        <v>4147.84</v>
      </c>
      <c r="I21" s="1">
        <v>2018</v>
      </c>
      <c r="J21" s="2">
        <v>4</v>
      </c>
      <c r="K21" s="5">
        <v>11667</v>
      </c>
      <c r="L21" s="5">
        <v>53551.813999999998</v>
      </c>
      <c r="M21" s="5">
        <v>890</v>
      </c>
      <c r="N21" s="5">
        <v>4402.18</v>
      </c>
      <c r="O21" s="2">
        <v>2018</v>
      </c>
      <c r="P21" s="1">
        <v>4</v>
      </c>
      <c r="Q21" s="4">
        <v>31758</v>
      </c>
      <c r="R21" s="4">
        <v>65663.460000000006</v>
      </c>
      <c r="S21" s="4">
        <v>13511</v>
      </c>
      <c r="T21" s="4">
        <v>13547.38</v>
      </c>
      <c r="U21" s="1">
        <v>2018</v>
      </c>
      <c r="V21" s="2">
        <v>4</v>
      </c>
      <c r="W21" s="5">
        <v>4311</v>
      </c>
      <c r="X21" s="5">
        <v>53366.923000000003</v>
      </c>
      <c r="Y21" s="5">
        <v>6526.0000000000009</v>
      </c>
      <c r="Z21" s="5">
        <v>8409.5400000000009</v>
      </c>
      <c r="AA21" s="2">
        <v>2018</v>
      </c>
      <c r="AB21" s="1">
        <v>4</v>
      </c>
      <c r="AC21" s="4">
        <v>5254.4</v>
      </c>
      <c r="AD21" s="4">
        <v>21017.599999999999</v>
      </c>
      <c r="AE21" s="4">
        <v>3693.2000000000007</v>
      </c>
      <c r="AF21" s="4">
        <v>14772.8</v>
      </c>
      <c r="AG21" s="1">
        <v>2018</v>
      </c>
      <c r="AH21" s="2">
        <v>4</v>
      </c>
      <c r="AI21" s="5">
        <v>11197</v>
      </c>
      <c r="AJ21" s="5">
        <v>44788</v>
      </c>
      <c r="AK21" s="5">
        <v>7043.5999999999985</v>
      </c>
      <c r="AL21" s="5">
        <v>28174.400000000001</v>
      </c>
      <c r="AM21" s="2">
        <v>2018</v>
      </c>
      <c r="AN21" s="1">
        <v>4</v>
      </c>
      <c r="AO21" s="4">
        <v>9001</v>
      </c>
      <c r="AP21" s="4">
        <v>36004</v>
      </c>
      <c r="AQ21" s="4">
        <v>6150.5999999999985</v>
      </c>
      <c r="AR21" s="4">
        <v>24602.400000000001</v>
      </c>
      <c r="AS21" s="1">
        <v>2018</v>
      </c>
      <c r="AT21" s="2">
        <v>4</v>
      </c>
      <c r="AU21" s="5">
        <v>11465.599999999999</v>
      </c>
      <c r="AV21" s="5">
        <v>45862.400000000001</v>
      </c>
      <c r="AW21" s="5">
        <v>0</v>
      </c>
      <c r="AX21" s="5">
        <v>0</v>
      </c>
      <c r="AY21" s="2">
        <v>2018</v>
      </c>
      <c r="AZ21" s="1">
        <v>4</v>
      </c>
      <c r="BA21" s="4">
        <v>5279</v>
      </c>
      <c r="BB21" s="4">
        <v>21116</v>
      </c>
      <c r="BC21" s="4">
        <v>2712.2</v>
      </c>
      <c r="BD21" s="4">
        <v>10848.8</v>
      </c>
      <c r="BE21" s="1">
        <v>2018</v>
      </c>
      <c r="BF21" s="2">
        <v>4</v>
      </c>
      <c r="BG21" s="5">
        <f t="shared" si="1"/>
        <v>119325</v>
      </c>
      <c r="BH21" s="5">
        <f t="shared" si="0"/>
        <v>396284.53100000008</v>
      </c>
      <c r="BI21" s="5">
        <f t="shared" si="0"/>
        <v>43461.599999999999</v>
      </c>
      <c r="BJ21" s="5">
        <f t="shared" si="0"/>
        <v>108905.34000000001</v>
      </c>
      <c r="BK21" s="2">
        <v>2018</v>
      </c>
    </row>
    <row r="22" spans="3:63" outlineLevel="1" x14ac:dyDescent="0.35">
      <c r="C22" s="3">
        <v>43221</v>
      </c>
      <c r="D22" s="1">
        <v>5</v>
      </c>
      <c r="E22" s="4">
        <v>-14296.334000000003</v>
      </c>
      <c r="F22" s="4">
        <v>40618</v>
      </c>
      <c r="G22" s="4">
        <v>12584.119999999999</v>
      </c>
      <c r="H22" s="4">
        <v>16731.96</v>
      </c>
      <c r="I22" s="1">
        <v>2018</v>
      </c>
      <c r="J22" s="2">
        <v>5</v>
      </c>
      <c r="K22" s="5">
        <v>2878</v>
      </c>
      <c r="L22" s="5">
        <v>56429.813999999998</v>
      </c>
      <c r="M22" s="5">
        <v>6847.369999999999</v>
      </c>
      <c r="N22" s="5">
        <v>11249.55</v>
      </c>
      <c r="O22" s="2">
        <v>2018</v>
      </c>
      <c r="P22" s="1">
        <v>5</v>
      </c>
      <c r="Q22" s="4">
        <v>4.5399999999935972</v>
      </c>
      <c r="R22" s="4">
        <v>65668</v>
      </c>
      <c r="S22" s="4">
        <v>-3253.7699999999986</v>
      </c>
      <c r="T22" s="4">
        <v>10293.61</v>
      </c>
      <c r="U22" s="1">
        <v>2018</v>
      </c>
      <c r="V22" s="2">
        <v>5</v>
      </c>
      <c r="W22" s="5">
        <v>26821.000000000007</v>
      </c>
      <c r="X22" s="5">
        <v>80187.92300000001</v>
      </c>
      <c r="Y22" s="5">
        <v>19604.349999999999</v>
      </c>
      <c r="Z22" s="5">
        <v>28013.89</v>
      </c>
      <c r="AA22" s="2">
        <v>2018</v>
      </c>
      <c r="AB22" s="1">
        <v>5</v>
      </c>
      <c r="AC22" s="4">
        <v>5254.4000000000015</v>
      </c>
      <c r="AD22" s="4">
        <v>26272</v>
      </c>
      <c r="AE22" s="4">
        <v>1728.5499999999993</v>
      </c>
      <c r="AF22" s="4">
        <v>16501.349999999999</v>
      </c>
      <c r="AG22" s="1">
        <v>2018</v>
      </c>
      <c r="AH22" s="2">
        <v>5</v>
      </c>
      <c r="AI22" s="5">
        <v>11197</v>
      </c>
      <c r="AJ22" s="5">
        <v>55985</v>
      </c>
      <c r="AK22" s="5">
        <v>-3564.4000000000015</v>
      </c>
      <c r="AL22" s="5">
        <v>24610</v>
      </c>
      <c r="AM22" s="2">
        <v>2018</v>
      </c>
      <c r="AN22" s="1">
        <v>5</v>
      </c>
      <c r="AO22" s="4">
        <v>9001</v>
      </c>
      <c r="AP22" s="4">
        <v>45005</v>
      </c>
      <c r="AQ22" s="4">
        <v>18658.699999999997</v>
      </c>
      <c r="AR22" s="4">
        <v>43261.1</v>
      </c>
      <c r="AS22" s="1">
        <v>2018</v>
      </c>
      <c r="AT22" s="2">
        <v>5</v>
      </c>
      <c r="AU22" s="5">
        <v>11465.599999999999</v>
      </c>
      <c r="AV22" s="5">
        <v>57328</v>
      </c>
      <c r="AW22" s="5">
        <v>0</v>
      </c>
      <c r="AX22" s="5">
        <v>0</v>
      </c>
      <c r="AY22" s="2">
        <v>2018</v>
      </c>
      <c r="AZ22" s="1">
        <v>5</v>
      </c>
      <c r="BA22" s="4">
        <v>5279</v>
      </c>
      <c r="BB22" s="4">
        <v>26395</v>
      </c>
      <c r="BC22" s="4">
        <v>10463.240000000002</v>
      </c>
      <c r="BD22" s="4">
        <v>21312.04</v>
      </c>
      <c r="BE22" s="1">
        <v>2018</v>
      </c>
      <c r="BF22" s="2">
        <v>5</v>
      </c>
      <c r="BG22" s="5">
        <f t="shared" si="1"/>
        <v>57604.205999999998</v>
      </c>
      <c r="BH22" s="5">
        <f t="shared" si="1"/>
        <v>453888.73700000002</v>
      </c>
      <c r="BI22" s="5">
        <f t="shared" si="1"/>
        <v>63068.159999999989</v>
      </c>
      <c r="BJ22" s="5">
        <f t="shared" si="1"/>
        <v>171973.5</v>
      </c>
      <c r="BK22" s="2">
        <v>2018</v>
      </c>
    </row>
    <row r="23" spans="3:63" outlineLevel="1" x14ac:dyDescent="0.35">
      <c r="C23" s="3">
        <v>43252</v>
      </c>
      <c r="D23" s="1">
        <v>6</v>
      </c>
      <c r="E23" s="4">
        <v>999</v>
      </c>
      <c r="F23" s="4">
        <v>41617</v>
      </c>
      <c r="G23" s="4">
        <v>3215.1059999999998</v>
      </c>
      <c r="H23" s="4">
        <v>19947.065999999999</v>
      </c>
      <c r="I23" s="1">
        <v>2018</v>
      </c>
      <c r="J23" s="2">
        <v>6</v>
      </c>
      <c r="K23" s="5">
        <v>592</v>
      </c>
      <c r="L23" s="5">
        <v>57021.813999999998</v>
      </c>
      <c r="M23" s="5">
        <v>721.7549999999992</v>
      </c>
      <c r="N23" s="5">
        <v>11971.304999999998</v>
      </c>
      <c r="O23" s="2">
        <v>2018</v>
      </c>
      <c r="P23" s="1">
        <v>6</v>
      </c>
      <c r="Q23" s="4">
        <v>3064</v>
      </c>
      <c r="R23" s="4">
        <v>68732</v>
      </c>
      <c r="S23" s="4">
        <v>2938.1464999999989</v>
      </c>
      <c r="T23" s="4">
        <v>13231.7565</v>
      </c>
      <c r="U23" s="1">
        <v>2018</v>
      </c>
      <c r="V23" s="2">
        <v>6</v>
      </c>
      <c r="W23" s="5">
        <v>-4945</v>
      </c>
      <c r="X23" s="5">
        <v>75242.92300000001</v>
      </c>
      <c r="Y23" s="5">
        <v>1619.1100000000006</v>
      </c>
      <c r="Z23" s="5">
        <v>29633</v>
      </c>
      <c r="AA23" s="2">
        <v>2018</v>
      </c>
      <c r="AB23" s="1">
        <v>6</v>
      </c>
      <c r="AC23" s="4">
        <v>1199</v>
      </c>
      <c r="AD23" s="4">
        <v>27471</v>
      </c>
      <c r="AE23" s="4">
        <v>3082.8199999999997</v>
      </c>
      <c r="AF23" s="4">
        <v>19584.169999999998</v>
      </c>
      <c r="AG23" s="1">
        <v>2018</v>
      </c>
      <c r="AH23" s="2">
        <v>6</v>
      </c>
      <c r="AI23" s="5">
        <v>1569</v>
      </c>
      <c r="AJ23" s="5">
        <v>57554</v>
      </c>
      <c r="AK23" s="5">
        <v>9555</v>
      </c>
      <c r="AL23" s="5">
        <v>34165</v>
      </c>
      <c r="AM23" s="2">
        <v>2018</v>
      </c>
      <c r="AN23" s="1">
        <v>6</v>
      </c>
      <c r="AO23" s="4">
        <v>5247</v>
      </c>
      <c r="AP23" s="4">
        <v>50252</v>
      </c>
      <c r="AQ23" s="4">
        <v>10337.5</v>
      </c>
      <c r="AR23" s="4">
        <v>53598.6</v>
      </c>
      <c r="AS23" s="1">
        <v>2018</v>
      </c>
      <c r="AT23" s="2">
        <v>6</v>
      </c>
      <c r="AU23" s="5">
        <v>1216</v>
      </c>
      <c r="AV23" s="5">
        <v>58544</v>
      </c>
      <c r="AW23" s="5">
        <v>0</v>
      </c>
      <c r="AX23" s="5">
        <v>0</v>
      </c>
      <c r="AY23" s="2">
        <v>2018</v>
      </c>
      <c r="AZ23" s="1">
        <v>6</v>
      </c>
      <c r="BA23" s="4">
        <v>795</v>
      </c>
      <c r="BB23" s="4">
        <v>27190</v>
      </c>
      <c r="BC23" s="4">
        <v>8047.6500000000015</v>
      </c>
      <c r="BD23" s="4">
        <v>29359.690000000002</v>
      </c>
      <c r="BE23" s="1">
        <v>2018</v>
      </c>
      <c r="BF23" s="2">
        <v>6</v>
      </c>
      <c r="BG23" s="5">
        <f t="shared" ref="BG23:BJ86" si="2">+E23+K23+Q23+W23+AC23+AI23+AO23+AU23+BA23</f>
        <v>9736</v>
      </c>
      <c r="BH23" s="5">
        <f t="shared" si="2"/>
        <v>463624.73700000002</v>
      </c>
      <c r="BI23" s="5">
        <f t="shared" si="2"/>
        <v>39517.087500000001</v>
      </c>
      <c r="BJ23" s="5">
        <f t="shared" si="2"/>
        <v>211490.58749999999</v>
      </c>
      <c r="BK23" s="2">
        <v>2018</v>
      </c>
    </row>
    <row r="24" spans="3:63" outlineLevel="1" x14ac:dyDescent="0.35">
      <c r="C24" s="3">
        <v>43282</v>
      </c>
      <c r="D24" s="1">
        <v>7</v>
      </c>
      <c r="E24" s="4">
        <v>18092</v>
      </c>
      <c r="F24" s="4">
        <v>59709</v>
      </c>
      <c r="G24" s="4">
        <v>4128.239999999998</v>
      </c>
      <c r="H24" s="4">
        <v>24075.305999999997</v>
      </c>
      <c r="I24" s="1">
        <v>2018</v>
      </c>
      <c r="J24" s="2">
        <v>7</v>
      </c>
      <c r="K24" s="5">
        <v>21737</v>
      </c>
      <c r="L24" s="5">
        <v>78758.813999999998</v>
      </c>
      <c r="M24" s="5">
        <v>2410.0500000000011</v>
      </c>
      <c r="N24" s="5">
        <v>14381.355</v>
      </c>
      <c r="O24" s="2">
        <v>2018</v>
      </c>
      <c r="P24" s="1">
        <v>7</v>
      </c>
      <c r="Q24" s="4">
        <v>7595</v>
      </c>
      <c r="R24" s="4">
        <v>76327</v>
      </c>
      <c r="S24" s="4">
        <v>749.5</v>
      </c>
      <c r="T24" s="4">
        <v>13981.2565</v>
      </c>
      <c r="U24" s="1">
        <v>2018</v>
      </c>
      <c r="V24" s="2">
        <v>7</v>
      </c>
      <c r="W24" s="5">
        <v>19101</v>
      </c>
      <c r="X24" s="5">
        <v>94343.92300000001</v>
      </c>
      <c r="Y24" s="5">
        <v>1704</v>
      </c>
      <c r="Z24" s="5">
        <v>31337</v>
      </c>
      <c r="AA24" s="2">
        <v>2018</v>
      </c>
      <c r="AB24" s="1">
        <v>7</v>
      </c>
      <c r="AC24" s="4">
        <v>3101</v>
      </c>
      <c r="AD24" s="4">
        <v>30572</v>
      </c>
      <c r="AE24" s="4">
        <v>2974.2200000000012</v>
      </c>
      <c r="AF24" s="4">
        <v>22558.39</v>
      </c>
      <c r="AG24" s="1">
        <v>2018</v>
      </c>
      <c r="AH24" s="2">
        <v>7</v>
      </c>
      <c r="AI24" s="5">
        <v>11720</v>
      </c>
      <c r="AJ24" s="5">
        <v>69274</v>
      </c>
      <c r="AK24" s="5">
        <v>12072</v>
      </c>
      <c r="AL24" s="5">
        <v>46237</v>
      </c>
      <c r="AM24" s="2">
        <v>2018</v>
      </c>
      <c r="AN24" s="1">
        <v>7</v>
      </c>
      <c r="AO24" s="4">
        <v>9687</v>
      </c>
      <c r="AP24" s="4">
        <v>59939</v>
      </c>
      <c r="AQ24" s="4">
        <v>4113.5</v>
      </c>
      <c r="AR24" s="4">
        <v>57712.1</v>
      </c>
      <c r="AS24" s="1">
        <v>2018</v>
      </c>
      <c r="AT24" s="2">
        <v>7</v>
      </c>
      <c r="AU24" s="5">
        <v>2616</v>
      </c>
      <c r="AV24" s="5">
        <v>61160</v>
      </c>
      <c r="AW24" s="5">
        <v>0</v>
      </c>
      <c r="AX24" s="5">
        <v>0</v>
      </c>
      <c r="AY24" s="2">
        <v>2018</v>
      </c>
      <c r="AZ24" s="1">
        <v>7</v>
      </c>
      <c r="BA24" s="4">
        <v>3920</v>
      </c>
      <c r="BB24" s="4">
        <v>31110</v>
      </c>
      <c r="BC24" s="4">
        <v>3271.4199999999983</v>
      </c>
      <c r="BD24" s="4">
        <v>32631.11</v>
      </c>
      <c r="BE24" s="1">
        <v>2018</v>
      </c>
      <c r="BF24" s="2">
        <v>7</v>
      </c>
      <c r="BG24" s="5">
        <f t="shared" si="2"/>
        <v>97569</v>
      </c>
      <c r="BH24" s="5">
        <f t="shared" si="2"/>
        <v>561193.73699999996</v>
      </c>
      <c r="BI24" s="5">
        <f t="shared" si="2"/>
        <v>31422.93</v>
      </c>
      <c r="BJ24" s="5">
        <f t="shared" si="2"/>
        <v>242913.51750000002</v>
      </c>
      <c r="BK24" s="2">
        <v>2018</v>
      </c>
    </row>
    <row r="25" spans="3:63" outlineLevel="1" x14ac:dyDescent="0.35">
      <c r="C25" s="3">
        <v>43313</v>
      </c>
      <c r="D25" s="1">
        <v>8</v>
      </c>
      <c r="E25" s="4">
        <v>2237</v>
      </c>
      <c r="F25" s="4">
        <v>61946</v>
      </c>
      <c r="G25" s="4">
        <v>5089</v>
      </c>
      <c r="H25" s="4">
        <v>29164.305999999997</v>
      </c>
      <c r="I25" s="1">
        <v>2018</v>
      </c>
      <c r="J25" s="2">
        <v>8</v>
      </c>
      <c r="K25" s="5">
        <v>3932</v>
      </c>
      <c r="L25" s="5">
        <v>82690.813999999998</v>
      </c>
      <c r="M25" s="5">
        <v>2868</v>
      </c>
      <c r="N25" s="5">
        <v>17249.355</v>
      </c>
      <c r="O25" s="2">
        <v>2018</v>
      </c>
      <c r="P25" s="1">
        <v>8</v>
      </c>
      <c r="Q25" s="4">
        <v>2198</v>
      </c>
      <c r="R25" s="4">
        <v>78525</v>
      </c>
      <c r="S25" s="4">
        <v>3143</v>
      </c>
      <c r="T25" s="4">
        <v>17124.2565</v>
      </c>
      <c r="U25" s="1">
        <v>2018</v>
      </c>
      <c r="V25" s="2">
        <v>8</v>
      </c>
      <c r="W25" s="5">
        <v>2900</v>
      </c>
      <c r="X25" s="5">
        <v>97243.92300000001</v>
      </c>
      <c r="Y25" s="5">
        <v>7914</v>
      </c>
      <c r="Z25" s="5">
        <v>39251</v>
      </c>
      <c r="AA25" s="2">
        <v>2018</v>
      </c>
      <c r="AB25" s="1">
        <v>8</v>
      </c>
      <c r="AC25" s="4">
        <v>3394</v>
      </c>
      <c r="AD25" s="4">
        <v>33966</v>
      </c>
      <c r="AE25" s="4">
        <v>5058</v>
      </c>
      <c r="AF25" s="4">
        <v>27616.39</v>
      </c>
      <c r="AG25" s="1">
        <v>2018</v>
      </c>
      <c r="AH25" s="2">
        <v>8</v>
      </c>
      <c r="AI25" s="5">
        <v>2985</v>
      </c>
      <c r="AJ25" s="5">
        <v>72259</v>
      </c>
      <c r="AK25" s="5">
        <v>9935</v>
      </c>
      <c r="AL25" s="5">
        <v>56172</v>
      </c>
      <c r="AM25" s="2">
        <v>2018</v>
      </c>
      <c r="AN25" s="1">
        <v>8</v>
      </c>
      <c r="AO25" s="4">
        <v>1878</v>
      </c>
      <c r="AP25" s="4">
        <v>61817</v>
      </c>
      <c r="AQ25" s="4">
        <v>1450</v>
      </c>
      <c r="AR25" s="4">
        <v>59162.1</v>
      </c>
      <c r="AS25" s="1">
        <v>2018</v>
      </c>
      <c r="AT25" s="2">
        <v>8</v>
      </c>
      <c r="AU25" s="5">
        <v>-61160</v>
      </c>
      <c r="AV25" s="5"/>
      <c r="AW25" s="5">
        <v>0</v>
      </c>
      <c r="AX25" s="5"/>
      <c r="AY25" s="2">
        <v>2018</v>
      </c>
      <c r="AZ25" s="1">
        <v>8</v>
      </c>
      <c r="BA25" s="4">
        <v>2173</v>
      </c>
      <c r="BB25" s="4">
        <v>33283</v>
      </c>
      <c r="BC25" s="4">
        <v>4468</v>
      </c>
      <c r="BD25" s="4">
        <v>37099.11</v>
      </c>
      <c r="BE25" s="1">
        <v>2018</v>
      </c>
      <c r="BF25" s="2">
        <v>8</v>
      </c>
      <c r="BG25" s="5">
        <f t="shared" si="2"/>
        <v>-39463</v>
      </c>
      <c r="BH25" s="5">
        <f t="shared" si="2"/>
        <v>521730.73700000002</v>
      </c>
      <c r="BI25" s="5">
        <f t="shared" si="2"/>
        <v>39925</v>
      </c>
      <c r="BJ25" s="5">
        <f t="shared" si="2"/>
        <v>282838.51750000002</v>
      </c>
      <c r="BK25" s="2">
        <v>2018</v>
      </c>
    </row>
    <row r="26" spans="3:63" outlineLevel="1" x14ac:dyDescent="0.35">
      <c r="C26" s="3">
        <v>43344</v>
      </c>
      <c r="D26" s="1">
        <v>9</v>
      </c>
      <c r="E26" s="4">
        <v>5634</v>
      </c>
      <c r="F26" s="4">
        <v>67580</v>
      </c>
      <c r="G26" s="4">
        <v>3982.8899999999994</v>
      </c>
      <c r="H26" s="4">
        <v>33147.195999999996</v>
      </c>
      <c r="I26" s="1">
        <v>2018</v>
      </c>
      <c r="J26" s="2">
        <v>9</v>
      </c>
      <c r="K26" s="5">
        <v>3086</v>
      </c>
      <c r="L26" s="5">
        <v>85776.813999999998</v>
      </c>
      <c r="M26" s="5">
        <v>407.84000000000015</v>
      </c>
      <c r="N26" s="5">
        <v>17657.195</v>
      </c>
      <c r="O26" s="2">
        <v>2018</v>
      </c>
      <c r="P26" s="1">
        <v>9</v>
      </c>
      <c r="Q26" s="4">
        <v>3716</v>
      </c>
      <c r="R26" s="4">
        <v>82241</v>
      </c>
      <c r="S26" s="4">
        <v>2887.4700000000012</v>
      </c>
      <c r="T26" s="4">
        <v>20011.726500000001</v>
      </c>
      <c r="U26" s="1">
        <v>2018</v>
      </c>
      <c r="V26" s="2">
        <v>9</v>
      </c>
      <c r="W26" s="5">
        <v>7055</v>
      </c>
      <c r="X26" s="5">
        <v>104298.92300000001</v>
      </c>
      <c r="Y26" s="5">
        <v>4758</v>
      </c>
      <c r="Z26" s="5">
        <v>44009</v>
      </c>
      <c r="AA26" s="2">
        <v>2018</v>
      </c>
      <c r="AB26" s="1">
        <v>9</v>
      </c>
      <c r="AC26" s="4">
        <v>831</v>
      </c>
      <c r="AD26" s="4">
        <v>34797</v>
      </c>
      <c r="AE26" s="4">
        <v>1696.6899999999987</v>
      </c>
      <c r="AF26" s="4">
        <v>29313.079999999998</v>
      </c>
      <c r="AG26" s="1">
        <v>2018</v>
      </c>
      <c r="AH26" s="2">
        <v>9</v>
      </c>
      <c r="AI26" s="5">
        <v>4261</v>
      </c>
      <c r="AJ26" s="5">
        <v>76520</v>
      </c>
      <c r="AK26" s="5">
        <v>6216.5</v>
      </c>
      <c r="AL26" s="5">
        <v>62388.5</v>
      </c>
      <c r="AM26" s="2">
        <v>2018</v>
      </c>
      <c r="AN26" s="1">
        <v>9</v>
      </c>
      <c r="AO26" s="4">
        <v>2096</v>
      </c>
      <c r="AP26" s="4">
        <v>63913</v>
      </c>
      <c r="AQ26" s="4">
        <v>1054.1299999999974</v>
      </c>
      <c r="AR26" s="4">
        <v>60216.229999999996</v>
      </c>
      <c r="AS26" s="1">
        <v>2018</v>
      </c>
      <c r="AT26" s="2">
        <v>9</v>
      </c>
      <c r="AU26" s="5">
        <v>62859</v>
      </c>
      <c r="AV26" s="5">
        <v>62859</v>
      </c>
      <c r="AW26" s="5">
        <v>0</v>
      </c>
      <c r="AX26" s="5">
        <v>0</v>
      </c>
      <c r="AY26" s="2">
        <v>2018</v>
      </c>
      <c r="AZ26" s="1">
        <v>9</v>
      </c>
      <c r="BA26" s="4">
        <v>201</v>
      </c>
      <c r="BB26" s="4">
        <v>33484</v>
      </c>
      <c r="BC26" s="4">
        <v>2653.2200000000012</v>
      </c>
      <c r="BD26" s="4">
        <v>39752.33</v>
      </c>
      <c r="BE26" s="1">
        <v>2018</v>
      </c>
      <c r="BF26" s="2">
        <v>9</v>
      </c>
      <c r="BG26" s="5">
        <f t="shared" si="2"/>
        <v>89739</v>
      </c>
      <c r="BH26" s="5">
        <f t="shared" si="2"/>
        <v>611469.73699999996</v>
      </c>
      <c r="BI26" s="5">
        <f t="shared" si="2"/>
        <v>23656.739999999998</v>
      </c>
      <c r="BJ26" s="5">
        <f t="shared" si="2"/>
        <v>306495.25750000001</v>
      </c>
      <c r="BK26" s="2">
        <v>2018</v>
      </c>
    </row>
    <row r="27" spans="3:63" outlineLevel="1" x14ac:dyDescent="0.35">
      <c r="C27" s="3">
        <v>43374</v>
      </c>
      <c r="D27" s="1">
        <v>10</v>
      </c>
      <c r="E27" s="4">
        <v>4028</v>
      </c>
      <c r="F27" s="4">
        <v>71608</v>
      </c>
      <c r="G27" s="4">
        <v>5275.9000000000015</v>
      </c>
      <c r="H27" s="4">
        <v>38423.095999999998</v>
      </c>
      <c r="I27" s="1">
        <v>2018</v>
      </c>
      <c r="J27" s="2">
        <v>10</v>
      </c>
      <c r="K27" s="5">
        <v>2218</v>
      </c>
      <c r="L27" s="5">
        <v>87994.813999999998</v>
      </c>
      <c r="M27" s="5">
        <v>3281.9000000000015</v>
      </c>
      <c r="N27" s="5">
        <v>20939.095000000001</v>
      </c>
      <c r="O27" s="2">
        <v>2018</v>
      </c>
      <c r="P27" s="1">
        <v>10</v>
      </c>
      <c r="Q27" s="4">
        <v>4453</v>
      </c>
      <c r="R27" s="4">
        <v>86694</v>
      </c>
      <c r="S27" s="4">
        <v>0</v>
      </c>
      <c r="T27" s="4">
        <v>20011.726500000001</v>
      </c>
      <c r="U27" s="1">
        <v>2018</v>
      </c>
      <c r="V27" s="2">
        <v>10</v>
      </c>
      <c r="W27" s="5">
        <v>1701</v>
      </c>
      <c r="X27" s="5">
        <v>105999.92300000001</v>
      </c>
      <c r="Y27" s="5">
        <v>4523.6600000000035</v>
      </c>
      <c r="Z27" s="5">
        <v>48532.66</v>
      </c>
      <c r="AA27" s="2">
        <v>2018</v>
      </c>
      <c r="AB27" s="1">
        <v>10</v>
      </c>
      <c r="AC27" s="4">
        <v>381</v>
      </c>
      <c r="AD27" s="4">
        <v>35178</v>
      </c>
      <c r="AE27" s="4">
        <v>3558.0000000000036</v>
      </c>
      <c r="AF27" s="4">
        <v>32871.08</v>
      </c>
      <c r="AG27" s="1">
        <v>2018</v>
      </c>
      <c r="AH27" s="2">
        <v>10</v>
      </c>
      <c r="AI27" s="5">
        <v>3697</v>
      </c>
      <c r="AJ27" s="5">
        <v>80217</v>
      </c>
      <c r="AK27" s="5">
        <v>3645.2200000000012</v>
      </c>
      <c r="AL27" s="5">
        <v>66033.72</v>
      </c>
      <c r="AM27" s="2">
        <v>2018</v>
      </c>
      <c r="AN27" s="1">
        <v>10</v>
      </c>
      <c r="AO27" s="4">
        <v>638</v>
      </c>
      <c r="AP27" s="4">
        <v>64551</v>
      </c>
      <c r="AQ27" s="4">
        <v>474.77999999999884</v>
      </c>
      <c r="AR27" s="4">
        <v>60691.009999999995</v>
      </c>
      <c r="AS27" s="1">
        <v>2018</v>
      </c>
      <c r="AT27" s="2">
        <v>10</v>
      </c>
      <c r="AU27" s="5">
        <v>178</v>
      </c>
      <c r="AV27" s="5">
        <v>63037</v>
      </c>
      <c r="AW27" s="5">
        <v>0</v>
      </c>
      <c r="AX27" s="5">
        <v>0</v>
      </c>
      <c r="AY27" s="2">
        <v>2018</v>
      </c>
      <c r="AZ27" s="1">
        <v>10</v>
      </c>
      <c r="BA27" s="4">
        <v>135</v>
      </c>
      <c r="BB27" s="4">
        <v>33619</v>
      </c>
      <c r="BC27" s="4">
        <v>3031.4599999999991</v>
      </c>
      <c r="BD27" s="4">
        <v>42783.79</v>
      </c>
      <c r="BE27" s="1">
        <v>2018</v>
      </c>
      <c r="BF27" s="2">
        <v>10</v>
      </c>
      <c r="BG27" s="5">
        <f t="shared" si="2"/>
        <v>17429</v>
      </c>
      <c r="BH27" s="5">
        <f t="shared" si="2"/>
        <v>628898.73699999996</v>
      </c>
      <c r="BI27" s="5">
        <f t="shared" si="2"/>
        <v>23790.920000000009</v>
      </c>
      <c r="BJ27" s="5">
        <f t="shared" si="2"/>
        <v>330286.17749999999</v>
      </c>
      <c r="BK27" s="2">
        <v>2018</v>
      </c>
    </row>
    <row r="28" spans="3:63" outlineLevel="1" x14ac:dyDescent="0.35">
      <c r="C28" s="3">
        <v>43405</v>
      </c>
      <c r="D28" s="1">
        <v>11</v>
      </c>
      <c r="E28" s="4">
        <v>13007</v>
      </c>
      <c r="F28" s="4">
        <v>84615</v>
      </c>
      <c r="G28" s="4">
        <v>8174.239999999998</v>
      </c>
      <c r="H28" s="4">
        <v>46597.335999999996</v>
      </c>
      <c r="I28" s="1">
        <v>2018</v>
      </c>
      <c r="J28" s="2">
        <v>11</v>
      </c>
      <c r="K28" s="5">
        <v>4563</v>
      </c>
      <c r="L28" s="5">
        <v>92557.813999999998</v>
      </c>
      <c r="M28" s="5">
        <v>3529.6899999999987</v>
      </c>
      <c r="N28" s="5">
        <v>24468.785</v>
      </c>
      <c r="O28" s="2">
        <v>2018</v>
      </c>
      <c r="P28" s="1">
        <v>11</v>
      </c>
      <c r="Q28" s="4">
        <v>4975</v>
      </c>
      <c r="R28" s="4">
        <v>91669</v>
      </c>
      <c r="S28" s="4">
        <v>1532.2799999999988</v>
      </c>
      <c r="T28" s="4">
        <v>21544.0065</v>
      </c>
      <c r="U28" s="1">
        <v>2018</v>
      </c>
      <c r="V28" s="2">
        <v>11</v>
      </c>
      <c r="W28" s="5">
        <v>3569</v>
      </c>
      <c r="X28" s="5">
        <v>109568.92300000001</v>
      </c>
      <c r="Y28" s="5">
        <v>3269.5400000000009</v>
      </c>
      <c r="Z28" s="5">
        <v>51802.200000000004</v>
      </c>
      <c r="AA28" s="2">
        <v>2018</v>
      </c>
      <c r="AB28" s="1">
        <v>11</v>
      </c>
      <c r="AC28" s="4">
        <v>540</v>
      </c>
      <c r="AD28" s="4">
        <v>35718</v>
      </c>
      <c r="AE28" s="4">
        <v>2106.5399999999936</v>
      </c>
      <c r="AF28" s="4">
        <v>34977.619999999995</v>
      </c>
      <c r="AG28" s="1">
        <v>2018</v>
      </c>
      <c r="AH28" s="2">
        <v>11</v>
      </c>
      <c r="AI28" s="5">
        <v>390</v>
      </c>
      <c r="AJ28" s="5">
        <v>80607</v>
      </c>
      <c r="AK28" s="5">
        <v>42.190000000002328</v>
      </c>
      <c r="AL28" s="5">
        <v>66075.91</v>
      </c>
      <c r="AM28" s="2">
        <v>2018</v>
      </c>
      <c r="AN28" s="1">
        <v>11</v>
      </c>
      <c r="AO28" s="4">
        <v>816</v>
      </c>
      <c r="AP28" s="4">
        <v>65367</v>
      </c>
      <c r="AQ28" s="4">
        <v>2390.2900000000009</v>
      </c>
      <c r="AR28" s="4">
        <v>63081.299999999996</v>
      </c>
      <c r="AS28" s="1">
        <v>2018</v>
      </c>
      <c r="AT28" s="2">
        <v>11</v>
      </c>
      <c r="AU28" s="5">
        <v>-30</v>
      </c>
      <c r="AV28" s="5">
        <v>63007</v>
      </c>
      <c r="AW28" s="5">
        <v>0</v>
      </c>
      <c r="AX28" s="5">
        <v>0</v>
      </c>
      <c r="AY28" s="2">
        <v>2018</v>
      </c>
      <c r="AZ28" s="1">
        <v>11</v>
      </c>
      <c r="BA28" s="4">
        <v>3405</v>
      </c>
      <c r="BB28" s="4">
        <v>37024</v>
      </c>
      <c r="BC28" s="4">
        <v>6216.739999999998</v>
      </c>
      <c r="BD28" s="4">
        <v>49000.53</v>
      </c>
      <c r="BE28" s="1">
        <v>2018</v>
      </c>
      <c r="BF28" s="2">
        <v>11</v>
      </c>
      <c r="BG28" s="5">
        <f t="shared" si="2"/>
        <v>31235</v>
      </c>
      <c r="BH28" s="5">
        <f t="shared" si="2"/>
        <v>660133.73699999996</v>
      </c>
      <c r="BI28" s="5">
        <f t="shared" si="2"/>
        <v>27261.509999999991</v>
      </c>
      <c r="BJ28" s="5">
        <f t="shared" si="2"/>
        <v>357547.6875</v>
      </c>
      <c r="BK28" s="2">
        <v>2018</v>
      </c>
    </row>
    <row r="29" spans="3:63" outlineLevel="1" x14ac:dyDescent="0.35">
      <c r="C29" s="3">
        <v>43435</v>
      </c>
      <c r="D29" s="1">
        <v>12</v>
      </c>
      <c r="E29" s="4">
        <v>3248</v>
      </c>
      <c r="F29" s="4">
        <v>87863</v>
      </c>
      <c r="G29" s="4">
        <v>5354.25</v>
      </c>
      <c r="H29" s="4">
        <v>51951.585999999996</v>
      </c>
      <c r="I29" s="1">
        <v>2018</v>
      </c>
      <c r="J29" s="2">
        <v>12</v>
      </c>
      <c r="K29" s="5">
        <v>13926</v>
      </c>
      <c r="L29" s="5">
        <v>106483.814</v>
      </c>
      <c r="M29" s="5">
        <v>3376.9300000000003</v>
      </c>
      <c r="N29" s="5">
        <v>27845.715</v>
      </c>
      <c r="O29" s="2">
        <v>2018</v>
      </c>
      <c r="P29" s="1">
        <v>12</v>
      </c>
      <c r="Q29" s="4">
        <v>5790</v>
      </c>
      <c r="R29" s="4">
        <v>97459</v>
      </c>
      <c r="S29" s="4">
        <v>2156.59</v>
      </c>
      <c r="T29" s="4">
        <v>23700.5965</v>
      </c>
      <c r="U29" s="1">
        <v>2018</v>
      </c>
      <c r="V29" s="2">
        <v>12</v>
      </c>
      <c r="W29" s="5">
        <v>2556</v>
      </c>
      <c r="X29" s="5">
        <v>112124.92300000001</v>
      </c>
      <c r="Y29" s="5">
        <v>3857.0900000000038</v>
      </c>
      <c r="Z29" s="5">
        <v>55659.290000000008</v>
      </c>
      <c r="AA29" s="2">
        <v>2018</v>
      </c>
      <c r="AB29" s="1">
        <v>12</v>
      </c>
      <c r="AC29" s="4">
        <v>2968</v>
      </c>
      <c r="AD29" s="4">
        <v>38686</v>
      </c>
      <c r="AE29" s="4">
        <v>3905.1999999999971</v>
      </c>
      <c r="AF29" s="4">
        <v>38882.819999999992</v>
      </c>
      <c r="AG29" s="1">
        <v>2018</v>
      </c>
      <c r="AH29" s="2">
        <v>12</v>
      </c>
      <c r="AI29" s="5">
        <v>2454</v>
      </c>
      <c r="AJ29" s="5">
        <v>83061</v>
      </c>
      <c r="AK29" s="5">
        <v>4111.9700000000012</v>
      </c>
      <c r="AL29" s="5">
        <v>70187.88</v>
      </c>
      <c r="AM29" s="2">
        <v>2018</v>
      </c>
      <c r="AN29" s="1">
        <v>12</v>
      </c>
      <c r="AO29" s="4">
        <v>6567</v>
      </c>
      <c r="AP29" s="4">
        <v>71934</v>
      </c>
      <c r="AQ29" s="4">
        <v>5658.93</v>
      </c>
      <c r="AR29" s="4">
        <v>68740.23</v>
      </c>
      <c r="AS29" s="1">
        <v>2018</v>
      </c>
      <c r="AT29" s="2">
        <v>12</v>
      </c>
      <c r="AU29" s="5">
        <v>713</v>
      </c>
      <c r="AV29" s="5">
        <v>63720</v>
      </c>
      <c r="AW29" s="5">
        <v>0</v>
      </c>
      <c r="AX29" s="5">
        <v>0</v>
      </c>
      <c r="AY29" s="2">
        <v>2018</v>
      </c>
      <c r="AZ29" s="1">
        <v>12</v>
      </c>
      <c r="BA29" s="4">
        <v>5157</v>
      </c>
      <c r="BB29" s="4">
        <v>42181</v>
      </c>
      <c r="BC29" s="4">
        <v>3702.1399999999994</v>
      </c>
      <c r="BD29" s="4">
        <v>52702.67</v>
      </c>
      <c r="BE29" s="1">
        <v>2018</v>
      </c>
      <c r="BF29" s="2">
        <v>12</v>
      </c>
      <c r="BG29" s="5">
        <f t="shared" si="2"/>
        <v>43379</v>
      </c>
      <c r="BH29" s="5">
        <f t="shared" si="2"/>
        <v>703512.73699999996</v>
      </c>
      <c r="BI29" s="5">
        <f t="shared" si="2"/>
        <v>32123.100000000002</v>
      </c>
      <c r="BJ29" s="5">
        <f t="shared" si="2"/>
        <v>389670.78749999998</v>
      </c>
      <c r="BK29" s="2">
        <v>2018</v>
      </c>
    </row>
    <row r="30" spans="3:63" outlineLevel="1" x14ac:dyDescent="0.35">
      <c r="C30" s="3">
        <v>43466</v>
      </c>
      <c r="D30" s="1">
        <v>1</v>
      </c>
      <c r="E30" s="4">
        <v>44568</v>
      </c>
      <c r="F30" s="4">
        <v>44568</v>
      </c>
      <c r="G30" s="4">
        <v>2109.5</v>
      </c>
      <c r="H30" s="4">
        <v>2109.5</v>
      </c>
      <c r="I30" s="1">
        <v>2019</v>
      </c>
      <c r="J30" s="2">
        <v>1</v>
      </c>
      <c r="K30" s="5">
        <v>30322</v>
      </c>
      <c r="L30" s="5">
        <v>30322</v>
      </c>
      <c r="M30" s="5">
        <v>3459.5</v>
      </c>
      <c r="N30" s="5">
        <v>3459.5</v>
      </c>
      <c r="O30" s="2">
        <v>2019</v>
      </c>
      <c r="P30" s="1">
        <v>1</v>
      </c>
      <c r="Q30" s="4">
        <v>41365</v>
      </c>
      <c r="R30" s="4">
        <v>41365</v>
      </c>
      <c r="S30" s="4">
        <v>357</v>
      </c>
      <c r="T30" s="4">
        <v>357</v>
      </c>
      <c r="U30" s="1">
        <v>2019</v>
      </c>
      <c r="V30" s="2">
        <v>1</v>
      </c>
      <c r="W30" s="5">
        <v>13830</v>
      </c>
      <c r="X30" s="5">
        <v>13830</v>
      </c>
      <c r="Y30" s="5">
        <v>3695</v>
      </c>
      <c r="Z30" s="5">
        <v>3695</v>
      </c>
      <c r="AA30" s="2">
        <v>2019</v>
      </c>
      <c r="AB30" s="1">
        <v>1</v>
      </c>
      <c r="AC30" s="4">
        <v>11463</v>
      </c>
      <c r="AD30" s="4">
        <v>11463</v>
      </c>
      <c r="AE30" s="4">
        <v>1802.615</v>
      </c>
      <c r="AF30" s="4">
        <v>1802.615</v>
      </c>
      <c r="AG30" s="1">
        <v>2019</v>
      </c>
      <c r="AH30" s="2">
        <v>1</v>
      </c>
      <c r="AI30" s="5">
        <v>38305</v>
      </c>
      <c r="AJ30" s="5">
        <v>38305</v>
      </c>
      <c r="AK30" s="5">
        <v>10772.826500000003</v>
      </c>
      <c r="AL30" s="5">
        <v>10772.826500000003</v>
      </c>
      <c r="AM30" s="2">
        <v>2019</v>
      </c>
      <c r="AN30" s="1">
        <v>1</v>
      </c>
      <c r="AO30" s="4">
        <v>12564</v>
      </c>
      <c r="AP30" s="4">
        <v>12564</v>
      </c>
      <c r="AQ30" s="4">
        <v>3022.2694999999994</v>
      </c>
      <c r="AR30" s="4">
        <v>3022.2694999999994</v>
      </c>
      <c r="AS30" s="1">
        <v>2019</v>
      </c>
      <c r="AT30" s="2">
        <v>1</v>
      </c>
      <c r="AU30" s="5">
        <v>11051</v>
      </c>
      <c r="AV30" s="5">
        <v>11051</v>
      </c>
      <c r="AW30" s="5">
        <v>0</v>
      </c>
      <c r="AX30" s="5">
        <v>0</v>
      </c>
      <c r="AY30" s="2">
        <v>2019</v>
      </c>
      <c r="AZ30" s="1">
        <v>1</v>
      </c>
      <c r="BA30" s="4">
        <v>29205</v>
      </c>
      <c r="BB30" s="4">
        <v>29205</v>
      </c>
      <c r="BC30" s="4">
        <v>8225.1949999999979</v>
      </c>
      <c r="BD30" s="4">
        <v>8225.1949999999979</v>
      </c>
      <c r="BE30" s="1">
        <v>2019</v>
      </c>
      <c r="BF30" s="2">
        <v>1</v>
      </c>
      <c r="BG30" s="5">
        <f t="shared" si="2"/>
        <v>232673</v>
      </c>
      <c r="BH30" s="5">
        <f t="shared" si="2"/>
        <v>232673</v>
      </c>
      <c r="BI30" s="5">
        <f t="shared" si="2"/>
        <v>33443.905999999995</v>
      </c>
      <c r="BJ30" s="5">
        <f t="shared" si="2"/>
        <v>33443.905999999995</v>
      </c>
      <c r="BK30" s="2">
        <v>2019</v>
      </c>
    </row>
    <row r="31" spans="3:63" outlineLevel="1" x14ac:dyDescent="0.35">
      <c r="C31" s="3">
        <v>43497</v>
      </c>
      <c r="D31" s="1">
        <v>2</v>
      </c>
      <c r="E31" s="4">
        <v>6413</v>
      </c>
      <c r="F31" s="4">
        <v>50981</v>
      </c>
      <c r="G31" s="4">
        <v>1543</v>
      </c>
      <c r="H31" s="4">
        <v>3652.5</v>
      </c>
      <c r="I31" s="1">
        <v>2019</v>
      </c>
      <c r="J31" s="2">
        <v>2</v>
      </c>
      <c r="K31" s="5">
        <v>1288</v>
      </c>
      <c r="L31" s="5">
        <v>31610</v>
      </c>
      <c r="M31" s="5">
        <v>2525.5</v>
      </c>
      <c r="N31" s="5">
        <v>5985</v>
      </c>
      <c r="O31" s="2">
        <v>2019</v>
      </c>
      <c r="P31" s="1">
        <v>2</v>
      </c>
      <c r="Q31" s="4">
        <v>5848</v>
      </c>
      <c r="R31" s="4">
        <v>47213</v>
      </c>
      <c r="S31" s="4">
        <v>899.5</v>
      </c>
      <c r="T31" s="4">
        <v>1256.5</v>
      </c>
      <c r="U31" s="1">
        <v>2019</v>
      </c>
      <c r="V31" s="2">
        <v>2</v>
      </c>
      <c r="W31" s="5">
        <v>13625</v>
      </c>
      <c r="X31" s="5">
        <v>27455</v>
      </c>
      <c r="Y31" s="5">
        <v>2751.5</v>
      </c>
      <c r="Z31" s="5">
        <v>6446.5</v>
      </c>
      <c r="AA31" s="2">
        <v>2019</v>
      </c>
      <c r="AB31" s="1">
        <v>2</v>
      </c>
      <c r="AC31" s="4">
        <v>4877</v>
      </c>
      <c r="AD31" s="4">
        <v>16340</v>
      </c>
      <c r="AE31" s="4">
        <v>732.37000000000012</v>
      </c>
      <c r="AF31" s="4">
        <v>2534.9850000000001</v>
      </c>
      <c r="AG31" s="1">
        <v>2019</v>
      </c>
      <c r="AH31" s="2">
        <v>2</v>
      </c>
      <c r="AI31" s="5">
        <v>2225</v>
      </c>
      <c r="AJ31" s="5">
        <v>40530</v>
      </c>
      <c r="AK31" s="5">
        <v>3452.8139999999985</v>
      </c>
      <c r="AL31" s="5">
        <v>14225.640500000001</v>
      </c>
      <c r="AM31" s="2">
        <v>2019</v>
      </c>
      <c r="AN31" s="1">
        <v>2</v>
      </c>
      <c r="AO31" s="4">
        <v>3989</v>
      </c>
      <c r="AP31" s="4">
        <v>16553</v>
      </c>
      <c r="AQ31" s="4">
        <v>539.59999999999991</v>
      </c>
      <c r="AR31" s="4">
        <v>3561.8694999999993</v>
      </c>
      <c r="AS31" s="1">
        <v>2019</v>
      </c>
      <c r="AT31" s="2">
        <v>2</v>
      </c>
      <c r="AU31" s="5">
        <v>779</v>
      </c>
      <c r="AV31" s="5">
        <v>11830</v>
      </c>
      <c r="AW31" s="5">
        <v>0</v>
      </c>
      <c r="AX31" s="5">
        <v>0</v>
      </c>
      <c r="AY31" s="2">
        <v>2019</v>
      </c>
      <c r="AZ31" s="1">
        <v>2</v>
      </c>
      <c r="BA31" s="4">
        <v>12158</v>
      </c>
      <c r="BB31" s="4">
        <v>41363</v>
      </c>
      <c r="BC31" s="4">
        <v>8139.6699999999983</v>
      </c>
      <c r="BD31" s="4">
        <v>16364.864999999996</v>
      </c>
      <c r="BE31" s="1">
        <v>2019</v>
      </c>
      <c r="BF31" s="2">
        <v>2</v>
      </c>
      <c r="BG31" s="5">
        <f t="shared" si="2"/>
        <v>51202</v>
      </c>
      <c r="BH31" s="5">
        <f t="shared" si="2"/>
        <v>283875</v>
      </c>
      <c r="BI31" s="5">
        <f t="shared" si="2"/>
        <v>20583.953999999998</v>
      </c>
      <c r="BJ31" s="5">
        <f t="shared" si="2"/>
        <v>54027.86</v>
      </c>
      <c r="BK31" s="2">
        <v>2019</v>
      </c>
    </row>
    <row r="32" spans="3:63" outlineLevel="1" x14ac:dyDescent="0.35">
      <c r="C32" s="3">
        <v>43525</v>
      </c>
      <c r="D32" s="1">
        <v>3</v>
      </c>
      <c r="E32" s="4">
        <v>9740</v>
      </c>
      <c r="F32" s="4">
        <v>60721</v>
      </c>
      <c r="G32" s="4">
        <v>2619</v>
      </c>
      <c r="H32" s="4">
        <v>6271.5</v>
      </c>
      <c r="I32" s="1">
        <v>2019</v>
      </c>
      <c r="J32" s="2">
        <v>3</v>
      </c>
      <c r="K32" s="5">
        <v>4002</v>
      </c>
      <c r="L32" s="5">
        <v>35612</v>
      </c>
      <c r="M32" s="5">
        <v>1882</v>
      </c>
      <c r="N32" s="5">
        <v>7867</v>
      </c>
      <c r="O32" s="2">
        <v>2019</v>
      </c>
      <c r="P32" s="1">
        <v>3</v>
      </c>
      <c r="Q32" s="4">
        <v>16270</v>
      </c>
      <c r="R32" s="4">
        <v>63483</v>
      </c>
      <c r="S32" s="4">
        <v>2628.5</v>
      </c>
      <c r="T32" s="4">
        <v>3885</v>
      </c>
      <c r="U32" s="1">
        <v>2019</v>
      </c>
      <c r="V32" s="2">
        <v>3</v>
      </c>
      <c r="W32" s="5">
        <v>21370</v>
      </c>
      <c r="X32" s="5">
        <v>48825</v>
      </c>
      <c r="Y32" s="5">
        <v>1044</v>
      </c>
      <c r="Z32" s="5">
        <v>7490.5</v>
      </c>
      <c r="AA32" s="2">
        <v>2019</v>
      </c>
      <c r="AB32" s="1">
        <v>3</v>
      </c>
      <c r="AC32" s="4">
        <v>1896</v>
      </c>
      <c r="AD32" s="4">
        <v>18236</v>
      </c>
      <c r="AE32" s="4">
        <v>2158.4700000000016</v>
      </c>
      <c r="AF32" s="4">
        <v>4693.4550000000017</v>
      </c>
      <c r="AG32" s="1">
        <v>2019</v>
      </c>
      <c r="AH32" s="2">
        <v>3</v>
      </c>
      <c r="AI32" s="5">
        <v>7131</v>
      </c>
      <c r="AJ32" s="5">
        <v>47661</v>
      </c>
      <c r="AK32" s="5">
        <v>4978.6579999999994</v>
      </c>
      <c r="AL32" s="5">
        <v>19204.298500000001</v>
      </c>
      <c r="AM32" s="2">
        <v>2019</v>
      </c>
      <c r="AN32" s="1">
        <v>3</v>
      </c>
      <c r="AO32" s="4">
        <v>14151</v>
      </c>
      <c r="AP32" s="4">
        <v>30704</v>
      </c>
      <c r="AQ32" s="4">
        <v>9238.5600000000031</v>
      </c>
      <c r="AR32" s="4">
        <v>12800.429500000002</v>
      </c>
      <c r="AS32" s="1">
        <v>2019</v>
      </c>
      <c r="AT32" s="2">
        <v>3</v>
      </c>
      <c r="AU32" s="5">
        <v>8015</v>
      </c>
      <c r="AV32" s="5">
        <v>19845</v>
      </c>
      <c r="AW32" s="5">
        <v>0</v>
      </c>
      <c r="AX32" s="5">
        <v>0</v>
      </c>
      <c r="AY32" s="2">
        <v>2019</v>
      </c>
      <c r="AZ32" s="1">
        <v>3</v>
      </c>
      <c r="BA32" s="4">
        <v>13122</v>
      </c>
      <c r="BB32" s="4">
        <v>54485</v>
      </c>
      <c r="BC32" s="4">
        <v>11866.070000000002</v>
      </c>
      <c r="BD32" s="4">
        <v>28230.934999999998</v>
      </c>
      <c r="BE32" s="1">
        <v>2019</v>
      </c>
      <c r="BF32" s="2">
        <v>3</v>
      </c>
      <c r="BG32" s="5">
        <f t="shared" si="2"/>
        <v>95697</v>
      </c>
      <c r="BH32" s="5">
        <f t="shared" si="2"/>
        <v>379572</v>
      </c>
      <c r="BI32" s="5">
        <f t="shared" si="2"/>
        <v>36415.258000000002</v>
      </c>
      <c r="BJ32" s="5">
        <f t="shared" si="2"/>
        <v>90443.118000000002</v>
      </c>
      <c r="BK32" s="2">
        <v>2019</v>
      </c>
    </row>
    <row r="33" spans="3:63" outlineLevel="1" x14ac:dyDescent="0.35">
      <c r="C33" s="3">
        <v>43556</v>
      </c>
      <c r="D33" s="1">
        <v>4</v>
      </c>
      <c r="E33" s="4">
        <v>13250</v>
      </c>
      <c r="F33" s="4">
        <v>73971</v>
      </c>
      <c r="G33" s="4">
        <v>1713.5</v>
      </c>
      <c r="H33" s="4">
        <v>7985</v>
      </c>
      <c r="I33" s="1">
        <v>2019</v>
      </c>
      <c r="J33" s="2">
        <v>4</v>
      </c>
      <c r="K33" s="5">
        <v>7564</v>
      </c>
      <c r="L33" s="5">
        <v>43176</v>
      </c>
      <c r="M33" s="5">
        <v>285</v>
      </c>
      <c r="N33" s="5">
        <v>8152</v>
      </c>
      <c r="O33" s="2">
        <v>2019</v>
      </c>
      <c r="P33" s="1">
        <v>4</v>
      </c>
      <c r="Q33" s="4">
        <v>11276</v>
      </c>
      <c r="R33" s="4">
        <v>74759</v>
      </c>
      <c r="S33" s="4">
        <v>5811</v>
      </c>
      <c r="T33" s="4">
        <v>9696</v>
      </c>
      <c r="U33" s="1">
        <v>2019</v>
      </c>
      <c r="V33" s="2">
        <v>4</v>
      </c>
      <c r="W33" s="5">
        <v>19152</v>
      </c>
      <c r="X33" s="5">
        <v>67977</v>
      </c>
      <c r="Y33" s="5">
        <v>7190</v>
      </c>
      <c r="Z33" s="5">
        <v>14680.5</v>
      </c>
      <c r="AA33" s="2">
        <v>2019</v>
      </c>
      <c r="AB33" s="1">
        <v>4</v>
      </c>
      <c r="AC33" s="4">
        <v>19532</v>
      </c>
      <c r="AD33" s="4">
        <v>37768</v>
      </c>
      <c r="AE33" s="4">
        <v>15333.50499999999</v>
      </c>
      <c r="AF33" s="4">
        <v>20026.959999999992</v>
      </c>
      <c r="AG33" s="1">
        <v>2019</v>
      </c>
      <c r="AH33" s="2">
        <v>4</v>
      </c>
      <c r="AI33" s="5">
        <v>9578</v>
      </c>
      <c r="AJ33" s="5">
        <v>57239</v>
      </c>
      <c r="AK33" s="5">
        <v>11244.355500000001</v>
      </c>
      <c r="AL33" s="5">
        <v>30448.654000000002</v>
      </c>
      <c r="AM33" s="2">
        <v>2019</v>
      </c>
      <c r="AN33" s="1">
        <v>4</v>
      </c>
      <c r="AO33" s="4">
        <v>23677</v>
      </c>
      <c r="AP33" s="4">
        <v>54381</v>
      </c>
      <c r="AQ33" s="4">
        <v>13414.155000000002</v>
      </c>
      <c r="AR33" s="4">
        <v>26214.584500000004</v>
      </c>
      <c r="AS33" s="1">
        <v>2019</v>
      </c>
      <c r="AT33" s="2">
        <v>4</v>
      </c>
      <c r="AU33" s="5">
        <v>14221</v>
      </c>
      <c r="AV33" s="5">
        <v>34066</v>
      </c>
      <c r="AW33" s="5">
        <v>0</v>
      </c>
      <c r="AX33" s="5">
        <v>0</v>
      </c>
      <c r="AY33" s="2">
        <v>2019</v>
      </c>
      <c r="AZ33" s="1">
        <v>4</v>
      </c>
      <c r="BA33" s="4">
        <v>6814</v>
      </c>
      <c r="BB33" s="4">
        <v>61299</v>
      </c>
      <c r="BC33" s="4">
        <v>6689.6580000000031</v>
      </c>
      <c r="BD33" s="4">
        <v>34920.593000000001</v>
      </c>
      <c r="BE33" s="1">
        <v>2019</v>
      </c>
      <c r="BF33" s="2">
        <v>4</v>
      </c>
      <c r="BG33" s="5">
        <f t="shared" si="2"/>
        <v>125064</v>
      </c>
      <c r="BH33" s="5">
        <f t="shared" si="2"/>
        <v>504636</v>
      </c>
      <c r="BI33" s="5">
        <f t="shared" si="2"/>
        <v>61681.173499999997</v>
      </c>
      <c r="BJ33" s="5">
        <f t="shared" si="2"/>
        <v>152124.29149999999</v>
      </c>
      <c r="BK33" s="2">
        <v>2019</v>
      </c>
    </row>
    <row r="34" spans="3:63" outlineLevel="1" x14ac:dyDescent="0.35">
      <c r="C34" s="3">
        <v>43586</v>
      </c>
      <c r="D34" s="1">
        <v>5</v>
      </c>
      <c r="E34" s="4">
        <v>21722</v>
      </c>
      <c r="F34" s="4">
        <v>95693</v>
      </c>
      <c r="G34" s="4">
        <v>5019.6900000000005</v>
      </c>
      <c r="H34" s="4">
        <v>13004.69</v>
      </c>
      <c r="I34" s="1">
        <v>2019</v>
      </c>
      <c r="J34" s="2">
        <v>5</v>
      </c>
      <c r="K34" s="5">
        <v>2872</v>
      </c>
      <c r="L34" s="5">
        <v>46048</v>
      </c>
      <c r="M34" s="5">
        <v>747.98999999999978</v>
      </c>
      <c r="N34" s="5">
        <v>8899.99</v>
      </c>
      <c r="O34" s="2">
        <v>2019</v>
      </c>
      <c r="P34" s="1">
        <v>5</v>
      </c>
      <c r="Q34" s="4">
        <v>20866</v>
      </c>
      <c r="R34" s="4">
        <v>95625</v>
      </c>
      <c r="S34" s="4">
        <v>5194.6875</v>
      </c>
      <c r="T34" s="4">
        <v>14890.6875</v>
      </c>
      <c r="U34" s="1">
        <v>2019</v>
      </c>
      <c r="V34" s="2">
        <v>5</v>
      </c>
      <c r="W34" s="5">
        <v>40862</v>
      </c>
      <c r="X34" s="5">
        <v>108839</v>
      </c>
      <c r="Y34" s="5">
        <v>18680.309999999998</v>
      </c>
      <c r="Z34" s="5">
        <v>33360.81</v>
      </c>
      <c r="AA34" s="2">
        <v>2019</v>
      </c>
      <c r="AB34" s="1">
        <v>5</v>
      </c>
      <c r="AC34" s="4">
        <v>17248</v>
      </c>
      <c r="AD34" s="4">
        <v>55016</v>
      </c>
      <c r="AE34" s="4">
        <v>10499.289999999994</v>
      </c>
      <c r="AF34" s="4">
        <v>30526.249999999985</v>
      </c>
      <c r="AG34" s="1">
        <v>2019</v>
      </c>
      <c r="AH34" s="2">
        <v>5</v>
      </c>
      <c r="AI34" s="5">
        <v>16901</v>
      </c>
      <c r="AJ34" s="5">
        <v>74140</v>
      </c>
      <c r="AK34" s="5">
        <v>14753.889999999992</v>
      </c>
      <c r="AL34" s="5">
        <v>45202.543999999994</v>
      </c>
      <c r="AM34" s="2">
        <v>2019</v>
      </c>
      <c r="AN34" s="1">
        <v>5</v>
      </c>
      <c r="AO34" s="4">
        <v>12758</v>
      </c>
      <c r="AP34" s="4">
        <v>67139</v>
      </c>
      <c r="AQ34" s="4">
        <v>7167.4150000000009</v>
      </c>
      <c r="AR34" s="4">
        <v>33381.999500000005</v>
      </c>
      <c r="AS34" s="1">
        <v>2019</v>
      </c>
      <c r="AT34" s="2">
        <v>5</v>
      </c>
      <c r="AU34" s="5">
        <v>6714</v>
      </c>
      <c r="AV34" s="5">
        <v>40780</v>
      </c>
      <c r="AW34" s="5">
        <v>0</v>
      </c>
      <c r="AX34" s="5">
        <v>0</v>
      </c>
      <c r="AY34" s="2">
        <v>2019</v>
      </c>
      <c r="AZ34" s="1">
        <v>5</v>
      </c>
      <c r="BA34" s="4">
        <v>10320</v>
      </c>
      <c r="BB34" s="4">
        <v>71619</v>
      </c>
      <c r="BC34" s="4">
        <v>8625.9815000000017</v>
      </c>
      <c r="BD34" s="4">
        <v>43546.574500000002</v>
      </c>
      <c r="BE34" s="1">
        <v>2019</v>
      </c>
      <c r="BF34" s="2">
        <v>5</v>
      </c>
      <c r="BG34" s="5">
        <f t="shared" si="2"/>
        <v>150263</v>
      </c>
      <c r="BH34" s="5">
        <f t="shared" si="2"/>
        <v>654899</v>
      </c>
      <c r="BI34" s="5">
        <f t="shared" si="2"/>
        <v>70689.253999999986</v>
      </c>
      <c r="BJ34" s="5">
        <f t="shared" si="2"/>
        <v>222813.54550000001</v>
      </c>
      <c r="BK34" s="2">
        <v>2019</v>
      </c>
    </row>
    <row r="35" spans="3:63" outlineLevel="1" x14ac:dyDescent="0.35">
      <c r="C35" s="3">
        <v>43617</v>
      </c>
      <c r="D35" s="1">
        <v>6</v>
      </c>
      <c r="E35" s="4">
        <v>6409</v>
      </c>
      <c r="F35" s="4">
        <v>102102</v>
      </c>
      <c r="G35" s="4">
        <v>5820.42</v>
      </c>
      <c r="H35" s="4">
        <v>18825.11</v>
      </c>
      <c r="I35" s="1">
        <v>2019</v>
      </c>
      <c r="J35" s="2">
        <v>6</v>
      </c>
      <c r="K35" s="5">
        <v>10701</v>
      </c>
      <c r="L35" s="5">
        <v>56749</v>
      </c>
      <c r="M35" s="5">
        <v>6275.83</v>
      </c>
      <c r="N35" s="5">
        <v>15175.82</v>
      </c>
      <c r="O35" s="2">
        <v>2019</v>
      </c>
      <c r="P35" s="1">
        <v>6</v>
      </c>
      <c r="Q35" s="4">
        <v>9260</v>
      </c>
      <c r="R35" s="4">
        <v>104885</v>
      </c>
      <c r="S35" s="4">
        <v>3014.369999999999</v>
      </c>
      <c r="T35" s="4">
        <v>17905.057499999999</v>
      </c>
      <c r="U35" s="1">
        <v>2019</v>
      </c>
      <c r="V35" s="2">
        <v>6</v>
      </c>
      <c r="W35" s="5">
        <v>30135</v>
      </c>
      <c r="X35" s="5">
        <v>138974</v>
      </c>
      <c r="Y35" s="5">
        <v>4836.2299999999959</v>
      </c>
      <c r="Z35" s="5">
        <v>38197.039999999994</v>
      </c>
      <c r="AA35" s="2">
        <v>2019</v>
      </c>
      <c r="AB35" s="1">
        <v>6</v>
      </c>
      <c r="AC35" s="4">
        <v>5372</v>
      </c>
      <c r="AD35" s="4">
        <v>60388</v>
      </c>
      <c r="AE35" s="4">
        <v>3585.1299999999974</v>
      </c>
      <c r="AF35" s="4">
        <v>34111.379999999983</v>
      </c>
      <c r="AG35" s="1">
        <v>2019</v>
      </c>
      <c r="AH35" s="2">
        <v>6</v>
      </c>
      <c r="AI35" s="5">
        <v>9740</v>
      </c>
      <c r="AJ35" s="5">
        <v>83880</v>
      </c>
      <c r="AK35" s="5">
        <v>8304.7984999999971</v>
      </c>
      <c r="AL35" s="5">
        <v>53507.342499999992</v>
      </c>
      <c r="AM35" s="2">
        <v>2019</v>
      </c>
      <c r="AN35" s="1">
        <v>6</v>
      </c>
      <c r="AO35" s="4">
        <v>3889</v>
      </c>
      <c r="AP35" s="4">
        <v>71028</v>
      </c>
      <c r="AQ35" s="4">
        <v>3774.9699999999939</v>
      </c>
      <c r="AR35" s="4">
        <v>37156.969499999999</v>
      </c>
      <c r="AS35" s="1">
        <v>2019</v>
      </c>
      <c r="AT35" s="2">
        <v>6</v>
      </c>
      <c r="AU35" s="5">
        <v>5203</v>
      </c>
      <c r="AV35" s="5">
        <v>45983</v>
      </c>
      <c r="AW35" s="5">
        <v>0</v>
      </c>
      <c r="AX35" s="5">
        <v>0</v>
      </c>
      <c r="AY35" s="2">
        <v>2019</v>
      </c>
      <c r="AZ35" s="1">
        <v>6</v>
      </c>
      <c r="BA35" s="4">
        <v>4134</v>
      </c>
      <c r="BB35" s="4">
        <v>75753</v>
      </c>
      <c r="BC35" s="4">
        <v>3755.2549999999974</v>
      </c>
      <c r="BD35" s="4">
        <v>47301.8295</v>
      </c>
      <c r="BE35" s="1">
        <v>2019</v>
      </c>
      <c r="BF35" s="2">
        <v>6</v>
      </c>
      <c r="BG35" s="5">
        <f t="shared" si="2"/>
        <v>84843</v>
      </c>
      <c r="BH35" s="5">
        <f t="shared" si="2"/>
        <v>739742</v>
      </c>
      <c r="BI35" s="5">
        <f t="shared" si="2"/>
        <v>39367.003499999984</v>
      </c>
      <c r="BJ35" s="5">
        <f t="shared" si="2"/>
        <v>262180.549</v>
      </c>
      <c r="BK35" s="2">
        <v>2019</v>
      </c>
    </row>
    <row r="36" spans="3:63" outlineLevel="1" x14ac:dyDescent="0.35">
      <c r="C36" s="3">
        <v>43647</v>
      </c>
      <c r="D36" s="1">
        <v>7</v>
      </c>
      <c r="E36" s="4">
        <v>6087</v>
      </c>
      <c r="F36" s="4">
        <v>108189</v>
      </c>
      <c r="G36" s="4">
        <v>5448.52</v>
      </c>
      <c r="H36" s="4">
        <v>24273.63</v>
      </c>
      <c r="I36" s="1">
        <v>2019</v>
      </c>
      <c r="J36" s="2">
        <v>7</v>
      </c>
      <c r="K36" s="5">
        <v>10966</v>
      </c>
      <c r="L36" s="5">
        <v>67715</v>
      </c>
      <c r="M36" s="5">
        <v>5438.119999999999</v>
      </c>
      <c r="N36" s="5">
        <v>20613.939999999999</v>
      </c>
      <c r="O36" s="2">
        <v>2019</v>
      </c>
      <c r="P36" s="1">
        <v>7</v>
      </c>
      <c r="Q36" s="4">
        <v>24862</v>
      </c>
      <c r="R36" s="4">
        <v>129747</v>
      </c>
      <c r="S36" s="4">
        <v>4265.6100000000006</v>
      </c>
      <c r="T36" s="4">
        <v>22170.6675</v>
      </c>
      <c r="U36" s="1">
        <v>2019</v>
      </c>
      <c r="V36" s="2">
        <v>7</v>
      </c>
      <c r="W36" s="5">
        <v>15901</v>
      </c>
      <c r="X36" s="5">
        <v>154875</v>
      </c>
      <c r="Y36" s="5">
        <v>2868.4800000000032</v>
      </c>
      <c r="Z36" s="5">
        <v>41065.519999999997</v>
      </c>
      <c r="AA36" s="2">
        <v>2019</v>
      </c>
      <c r="AB36" s="1">
        <v>7</v>
      </c>
      <c r="AC36" s="4">
        <v>9885</v>
      </c>
      <c r="AD36" s="4">
        <v>70273</v>
      </c>
      <c r="AE36" s="4">
        <v>9891.3700000000026</v>
      </c>
      <c r="AF36" s="4">
        <v>44002.749999999985</v>
      </c>
      <c r="AG36" s="1">
        <v>2019</v>
      </c>
      <c r="AH36" s="2">
        <v>7</v>
      </c>
      <c r="AI36" s="5">
        <v>3931</v>
      </c>
      <c r="AJ36" s="5">
        <v>87811</v>
      </c>
      <c r="AK36" s="5">
        <v>7469.1405000000013</v>
      </c>
      <c r="AL36" s="5">
        <v>60976.482999999993</v>
      </c>
      <c r="AM36" s="2">
        <v>2019</v>
      </c>
      <c r="AN36" s="1">
        <v>7</v>
      </c>
      <c r="AO36" s="4">
        <v>7343</v>
      </c>
      <c r="AP36" s="4">
        <v>78371</v>
      </c>
      <c r="AQ36" s="4">
        <v>3656.3199999999997</v>
      </c>
      <c r="AR36" s="4">
        <v>40813.289499999999</v>
      </c>
      <c r="AS36" s="1">
        <v>2019</v>
      </c>
      <c r="AT36" s="2">
        <v>7</v>
      </c>
      <c r="AU36" s="5">
        <v>7729</v>
      </c>
      <c r="AV36" s="5">
        <v>53712</v>
      </c>
      <c r="AW36" s="5">
        <v>0</v>
      </c>
      <c r="AX36" s="5">
        <v>0</v>
      </c>
      <c r="AY36" s="2">
        <v>2019</v>
      </c>
      <c r="AZ36" s="1">
        <v>7</v>
      </c>
      <c r="BA36" s="4">
        <v>3199</v>
      </c>
      <c r="BB36" s="4">
        <v>78952</v>
      </c>
      <c r="BC36" s="4">
        <v>10668.584999999999</v>
      </c>
      <c r="BD36" s="4">
        <v>57970.414499999999</v>
      </c>
      <c r="BE36" s="1">
        <v>2019</v>
      </c>
      <c r="BF36" s="2">
        <v>7</v>
      </c>
      <c r="BG36" s="5">
        <f t="shared" si="2"/>
        <v>89903</v>
      </c>
      <c r="BH36" s="5">
        <f t="shared" si="2"/>
        <v>829645</v>
      </c>
      <c r="BI36" s="5">
        <f t="shared" si="2"/>
        <v>49706.145500000006</v>
      </c>
      <c r="BJ36" s="5">
        <f t="shared" si="2"/>
        <v>311886.69450000004</v>
      </c>
      <c r="BK36" s="2">
        <v>2019</v>
      </c>
    </row>
    <row r="37" spans="3:63" outlineLevel="1" x14ac:dyDescent="0.35">
      <c r="C37" s="3">
        <v>43678</v>
      </c>
      <c r="D37" s="1">
        <v>8</v>
      </c>
      <c r="E37" s="4">
        <v>19508</v>
      </c>
      <c r="F37" s="4">
        <v>127697</v>
      </c>
      <c r="G37" s="4">
        <v>7883.9399999999987</v>
      </c>
      <c r="H37" s="4">
        <v>32157.57</v>
      </c>
      <c r="I37" s="1">
        <v>2019</v>
      </c>
      <c r="J37" s="2">
        <v>8</v>
      </c>
      <c r="K37" s="5">
        <v>12105</v>
      </c>
      <c r="L37" s="5">
        <v>79820</v>
      </c>
      <c r="M37" s="5">
        <v>3912.7900000000009</v>
      </c>
      <c r="N37" s="5">
        <v>24526.73</v>
      </c>
      <c r="O37" s="2">
        <v>2019</v>
      </c>
      <c r="P37" s="1">
        <v>8</v>
      </c>
      <c r="Q37" s="4">
        <v>31592</v>
      </c>
      <c r="R37" s="4">
        <v>161339</v>
      </c>
      <c r="S37" s="4">
        <v>9294.7199999999975</v>
      </c>
      <c r="T37" s="4">
        <v>31465.387499999997</v>
      </c>
      <c r="U37" s="1">
        <v>2019</v>
      </c>
      <c r="V37" s="2">
        <v>8</v>
      </c>
      <c r="W37" s="5">
        <v>10141</v>
      </c>
      <c r="X37" s="5">
        <v>165016</v>
      </c>
      <c r="Y37" s="5">
        <v>5026.2099999999991</v>
      </c>
      <c r="Z37" s="5">
        <v>46091.729999999996</v>
      </c>
      <c r="AA37" s="2">
        <v>2019</v>
      </c>
      <c r="AB37" s="1">
        <v>8</v>
      </c>
      <c r="AC37" s="4">
        <v>7238</v>
      </c>
      <c r="AD37" s="4">
        <v>77511</v>
      </c>
      <c r="AE37" s="4">
        <v>6078.0999999999985</v>
      </c>
      <c r="AF37" s="4">
        <v>50080.849999999984</v>
      </c>
      <c r="AG37" s="1">
        <v>2019</v>
      </c>
      <c r="AH37" s="2">
        <v>8</v>
      </c>
      <c r="AI37" s="5">
        <v>11021</v>
      </c>
      <c r="AJ37" s="5">
        <v>98832</v>
      </c>
      <c r="AK37" s="5">
        <v>5737.7979999999952</v>
      </c>
      <c r="AL37" s="5">
        <v>66714.280999999988</v>
      </c>
      <c r="AM37" s="2">
        <v>2019</v>
      </c>
      <c r="AN37" s="1">
        <v>8</v>
      </c>
      <c r="AO37" s="4">
        <v>7341</v>
      </c>
      <c r="AP37" s="4">
        <v>85712</v>
      </c>
      <c r="AQ37" s="4">
        <v>3250.4099999999962</v>
      </c>
      <c r="AR37" s="4">
        <v>44063.699499999995</v>
      </c>
      <c r="AS37" s="1">
        <v>2019</v>
      </c>
      <c r="AT37" s="2">
        <v>8</v>
      </c>
      <c r="AU37" s="5">
        <v>2644</v>
      </c>
      <c r="AV37" s="5">
        <v>56356</v>
      </c>
      <c r="AW37" s="5">
        <v>0</v>
      </c>
      <c r="AX37" s="5">
        <v>0</v>
      </c>
      <c r="AY37" s="2">
        <v>2019</v>
      </c>
      <c r="AZ37" s="1">
        <v>8</v>
      </c>
      <c r="BA37" s="4">
        <v>1058</v>
      </c>
      <c r="BB37" s="4">
        <v>80010</v>
      </c>
      <c r="BC37" s="4">
        <v>1542.9700000000012</v>
      </c>
      <c r="BD37" s="4">
        <v>59513.3845</v>
      </c>
      <c r="BE37" s="1">
        <v>2019</v>
      </c>
      <c r="BF37" s="2">
        <v>8</v>
      </c>
      <c r="BG37" s="5">
        <f t="shared" si="2"/>
        <v>102648</v>
      </c>
      <c r="BH37" s="5">
        <f t="shared" si="2"/>
        <v>932293</v>
      </c>
      <c r="BI37" s="5">
        <f t="shared" si="2"/>
        <v>42726.937999999987</v>
      </c>
      <c r="BJ37" s="5">
        <f t="shared" si="2"/>
        <v>354613.63249999995</v>
      </c>
      <c r="BK37" s="2">
        <v>2019</v>
      </c>
    </row>
    <row r="38" spans="3:63" outlineLevel="1" x14ac:dyDescent="0.35">
      <c r="C38" s="3">
        <v>43709</v>
      </c>
      <c r="D38" s="1">
        <v>9</v>
      </c>
      <c r="E38" s="4">
        <v>14041</v>
      </c>
      <c r="F38" s="4">
        <v>141738</v>
      </c>
      <c r="G38" s="4">
        <v>4433.82</v>
      </c>
      <c r="H38" s="4">
        <v>36591.39</v>
      </c>
      <c r="I38" s="1">
        <v>2019</v>
      </c>
      <c r="J38" s="2">
        <v>9</v>
      </c>
      <c r="K38" s="5">
        <v>7818</v>
      </c>
      <c r="L38" s="5">
        <v>87638</v>
      </c>
      <c r="M38" s="5">
        <v>6126.41</v>
      </c>
      <c r="N38" s="5">
        <v>30653.14</v>
      </c>
      <c r="O38" s="2">
        <v>2019</v>
      </c>
      <c r="P38" s="1">
        <v>9</v>
      </c>
      <c r="Q38" s="4">
        <v>14344</v>
      </c>
      <c r="R38" s="4">
        <v>175683</v>
      </c>
      <c r="S38" s="4">
        <v>3166.1100000000006</v>
      </c>
      <c r="T38" s="4">
        <v>34631.497499999998</v>
      </c>
      <c r="U38" s="1">
        <v>2019</v>
      </c>
      <c r="V38" s="2">
        <v>9</v>
      </c>
      <c r="W38" s="5">
        <v>5747</v>
      </c>
      <c r="X38" s="5">
        <v>170763</v>
      </c>
      <c r="Y38" s="5">
        <v>6135.8600000000006</v>
      </c>
      <c r="Z38" s="5">
        <v>52227.59</v>
      </c>
      <c r="AA38" s="2">
        <v>2019</v>
      </c>
      <c r="AB38" s="1">
        <v>9</v>
      </c>
      <c r="AC38" s="4">
        <v>2385</v>
      </c>
      <c r="AD38" s="4">
        <v>79896</v>
      </c>
      <c r="AE38" s="4">
        <v>6442.260000000002</v>
      </c>
      <c r="AF38" s="4">
        <v>56523.109999999986</v>
      </c>
      <c r="AG38" s="1">
        <v>2019</v>
      </c>
      <c r="AH38" s="2">
        <v>9</v>
      </c>
      <c r="AI38" s="5">
        <v>6049</v>
      </c>
      <c r="AJ38" s="5">
        <v>104881</v>
      </c>
      <c r="AK38" s="5">
        <v>6844.6499999999942</v>
      </c>
      <c r="AL38" s="5">
        <v>73558.930999999982</v>
      </c>
      <c r="AM38" s="2">
        <v>2019</v>
      </c>
      <c r="AN38" s="1">
        <v>9</v>
      </c>
      <c r="AO38" s="4">
        <v>3878</v>
      </c>
      <c r="AP38" s="4">
        <v>89590</v>
      </c>
      <c r="AQ38" s="4">
        <v>1413.1399999999994</v>
      </c>
      <c r="AR38" s="4">
        <v>45476.839499999995</v>
      </c>
      <c r="AS38" s="1">
        <v>2019</v>
      </c>
      <c r="AT38" s="2">
        <v>9</v>
      </c>
      <c r="AU38" s="5">
        <v>445</v>
      </c>
      <c r="AV38" s="5">
        <v>56801</v>
      </c>
      <c r="AW38" s="5">
        <v>0</v>
      </c>
      <c r="AX38" s="5">
        <v>0</v>
      </c>
      <c r="AY38" s="2">
        <v>2019</v>
      </c>
      <c r="AZ38" s="1">
        <v>9</v>
      </c>
      <c r="BA38" s="4">
        <v>0</v>
      </c>
      <c r="BB38" s="4">
        <v>80010</v>
      </c>
      <c r="BC38" s="4">
        <v>219.63500000000204</v>
      </c>
      <c r="BD38" s="4">
        <v>59733.019500000002</v>
      </c>
      <c r="BE38" s="1">
        <v>2019</v>
      </c>
      <c r="BF38" s="2">
        <v>9</v>
      </c>
      <c r="BG38" s="5">
        <f t="shared" si="2"/>
        <v>54707</v>
      </c>
      <c r="BH38" s="5">
        <f t="shared" si="2"/>
        <v>987000</v>
      </c>
      <c r="BI38" s="5">
        <f t="shared" si="2"/>
        <v>34781.885000000002</v>
      </c>
      <c r="BJ38" s="5">
        <f t="shared" si="2"/>
        <v>389395.51749999996</v>
      </c>
      <c r="BK38" s="2">
        <v>2019</v>
      </c>
    </row>
    <row r="39" spans="3:63" outlineLevel="1" x14ac:dyDescent="0.35">
      <c r="C39" s="3">
        <v>43739</v>
      </c>
      <c r="D39" s="1">
        <v>10</v>
      </c>
      <c r="E39" s="4">
        <v>3409</v>
      </c>
      <c r="F39" s="4">
        <v>145147</v>
      </c>
      <c r="G39" s="4">
        <v>5384.5999999999985</v>
      </c>
      <c r="H39" s="4">
        <v>41975.99</v>
      </c>
      <c r="I39" s="1">
        <v>2019</v>
      </c>
      <c r="J39" s="2">
        <v>10</v>
      </c>
      <c r="K39" s="5">
        <v>3365</v>
      </c>
      <c r="L39" s="5">
        <v>91003</v>
      </c>
      <c r="M39" s="5">
        <v>4984.75</v>
      </c>
      <c r="N39" s="5">
        <v>35637.89</v>
      </c>
      <c r="O39" s="2">
        <v>2019</v>
      </c>
      <c r="P39" s="1">
        <v>10</v>
      </c>
      <c r="Q39" s="4">
        <v>18253</v>
      </c>
      <c r="R39" s="4">
        <v>193936</v>
      </c>
      <c r="S39" s="4">
        <v>2654.9599999999991</v>
      </c>
      <c r="T39" s="4">
        <v>37286.457499999997</v>
      </c>
      <c r="U39" s="1">
        <v>2019</v>
      </c>
      <c r="V39" s="2">
        <v>10</v>
      </c>
      <c r="W39" s="5">
        <v>10585</v>
      </c>
      <c r="X39" s="5">
        <v>181348</v>
      </c>
      <c r="Y39" s="5">
        <v>6933.9000000000015</v>
      </c>
      <c r="Z39" s="5">
        <v>59161.49</v>
      </c>
      <c r="AA39" s="2">
        <v>2019</v>
      </c>
      <c r="AB39" s="1">
        <v>10</v>
      </c>
      <c r="AC39" s="4">
        <v>1292</v>
      </c>
      <c r="AD39" s="4">
        <v>81188</v>
      </c>
      <c r="AE39" s="4">
        <v>1961.9199999999983</v>
      </c>
      <c r="AF39" s="4">
        <v>58485.029999999984</v>
      </c>
      <c r="AG39" s="1">
        <v>2019</v>
      </c>
      <c r="AH39" s="2">
        <v>10</v>
      </c>
      <c r="AI39" s="5">
        <v>1988</v>
      </c>
      <c r="AJ39" s="5">
        <v>106869</v>
      </c>
      <c r="AK39" s="5">
        <v>2557.7899999999936</v>
      </c>
      <c r="AL39" s="5">
        <v>76116.720999999976</v>
      </c>
      <c r="AM39" s="2">
        <v>2019</v>
      </c>
      <c r="AN39" s="1">
        <v>10</v>
      </c>
      <c r="AO39" s="4">
        <v>1650</v>
      </c>
      <c r="AP39" s="4">
        <v>91240</v>
      </c>
      <c r="AQ39" s="4">
        <v>265.58999999999651</v>
      </c>
      <c r="AR39" s="4">
        <v>45742.429499999991</v>
      </c>
      <c r="AS39" s="1">
        <v>2019</v>
      </c>
      <c r="AT39" s="2">
        <v>10</v>
      </c>
      <c r="AU39" s="5">
        <v>1742</v>
      </c>
      <c r="AV39" s="5">
        <v>58543</v>
      </c>
      <c r="AW39" s="5">
        <v>0</v>
      </c>
      <c r="AX39" s="5">
        <v>0</v>
      </c>
      <c r="AY39" s="2">
        <v>2019</v>
      </c>
      <c r="AZ39" s="1">
        <v>10</v>
      </c>
      <c r="BA39" s="4">
        <v>1284</v>
      </c>
      <c r="BB39" s="4">
        <v>81294</v>
      </c>
      <c r="BC39" s="4">
        <v>1153.5849999999991</v>
      </c>
      <c r="BD39" s="4">
        <v>60886.604500000001</v>
      </c>
      <c r="BE39" s="1">
        <v>2019</v>
      </c>
      <c r="BF39" s="2">
        <v>10</v>
      </c>
      <c r="BG39" s="5">
        <f t="shared" si="2"/>
        <v>43568</v>
      </c>
      <c r="BH39" s="5">
        <f t="shared" si="2"/>
        <v>1030568</v>
      </c>
      <c r="BI39" s="5">
        <f t="shared" si="2"/>
        <v>25897.094999999987</v>
      </c>
      <c r="BJ39" s="5">
        <f t="shared" si="2"/>
        <v>415292.61249999993</v>
      </c>
      <c r="BK39" s="2">
        <v>2019</v>
      </c>
    </row>
    <row r="40" spans="3:63" outlineLevel="1" x14ac:dyDescent="0.35">
      <c r="C40" s="3">
        <v>43770</v>
      </c>
      <c r="D40" s="1">
        <v>11</v>
      </c>
      <c r="E40" s="4">
        <v>20077.989999999991</v>
      </c>
      <c r="F40" s="4">
        <v>165224.99</v>
      </c>
      <c r="G40" s="4">
        <v>12864.230000000003</v>
      </c>
      <c r="H40" s="4">
        <v>54840.22</v>
      </c>
      <c r="I40" s="1">
        <v>2019</v>
      </c>
      <c r="J40" s="2">
        <v>11</v>
      </c>
      <c r="K40" s="5">
        <v>6396</v>
      </c>
      <c r="L40" s="5">
        <v>97399</v>
      </c>
      <c r="M40" s="5">
        <v>7587.010000000002</v>
      </c>
      <c r="N40" s="5">
        <v>43224.9</v>
      </c>
      <c r="O40" s="2">
        <v>2019</v>
      </c>
      <c r="P40" s="1">
        <v>11</v>
      </c>
      <c r="Q40" s="4">
        <v>15367.999999999971</v>
      </c>
      <c r="R40" s="4">
        <v>209303.99999999997</v>
      </c>
      <c r="S40" s="4">
        <v>5227.3300000000017</v>
      </c>
      <c r="T40" s="4">
        <v>42513.787499999999</v>
      </c>
      <c r="U40" s="1">
        <v>2019</v>
      </c>
      <c r="V40" s="2">
        <v>11</v>
      </c>
      <c r="W40" s="5">
        <v>9921.9899999999907</v>
      </c>
      <c r="X40" s="5">
        <v>191269.99</v>
      </c>
      <c r="Y40" s="5">
        <v>6652.3799999999974</v>
      </c>
      <c r="Z40" s="5">
        <v>65813.87</v>
      </c>
      <c r="AA40" s="2">
        <v>2019</v>
      </c>
      <c r="AB40" s="1">
        <v>11</v>
      </c>
      <c r="AC40" s="4">
        <v>2897</v>
      </c>
      <c r="AD40" s="4">
        <v>84085</v>
      </c>
      <c r="AE40" s="4">
        <v>6168.3150000000023</v>
      </c>
      <c r="AF40" s="4">
        <v>64653.344999999987</v>
      </c>
      <c r="AG40" s="1">
        <v>2019</v>
      </c>
      <c r="AH40" s="2">
        <v>11</v>
      </c>
      <c r="AI40" s="5">
        <v>-4885.0000000000146</v>
      </c>
      <c r="AJ40" s="5">
        <v>101983.99999999999</v>
      </c>
      <c r="AK40" s="5">
        <v>200.72000000000116</v>
      </c>
      <c r="AL40" s="5">
        <v>76317.440999999977</v>
      </c>
      <c r="AM40" s="2">
        <v>2019</v>
      </c>
      <c r="AN40" s="1">
        <v>11</v>
      </c>
      <c r="AO40" s="4">
        <v>-5051.0000000000146</v>
      </c>
      <c r="AP40" s="4">
        <v>86188.999999999985</v>
      </c>
      <c r="AQ40" s="4">
        <v>832.01499999999942</v>
      </c>
      <c r="AR40" s="4">
        <v>46574.444499999991</v>
      </c>
      <c r="AS40" s="1">
        <v>2019</v>
      </c>
      <c r="AT40" s="2">
        <v>11</v>
      </c>
      <c r="AU40" s="5">
        <v>671.99999999999272</v>
      </c>
      <c r="AV40" s="5">
        <v>59214.999999999993</v>
      </c>
      <c r="AW40" s="5">
        <v>0</v>
      </c>
      <c r="AX40" s="5">
        <v>0</v>
      </c>
      <c r="AY40" s="2">
        <v>2019</v>
      </c>
      <c r="AZ40" s="1">
        <v>11</v>
      </c>
      <c r="BA40" s="4">
        <v>1525.0000000000146</v>
      </c>
      <c r="BB40" s="4">
        <v>82819.000000000015</v>
      </c>
      <c r="BC40" s="4">
        <v>6460.9499999999971</v>
      </c>
      <c r="BD40" s="4">
        <v>67347.554499999998</v>
      </c>
      <c r="BE40" s="1">
        <v>2019</v>
      </c>
      <c r="BF40" s="2">
        <v>11</v>
      </c>
      <c r="BG40" s="5">
        <f t="shared" si="2"/>
        <v>46921.97999999993</v>
      </c>
      <c r="BH40" s="5">
        <f t="shared" si="2"/>
        <v>1077489.98</v>
      </c>
      <c r="BI40" s="5">
        <f t="shared" si="2"/>
        <v>45992.950000000004</v>
      </c>
      <c r="BJ40" s="5">
        <f t="shared" si="2"/>
        <v>461285.5625</v>
      </c>
      <c r="BK40" s="2">
        <v>2019</v>
      </c>
    </row>
    <row r="41" spans="3:63" outlineLevel="1" x14ac:dyDescent="0.35">
      <c r="C41" s="3">
        <v>43800</v>
      </c>
      <c r="D41" s="1">
        <v>12</v>
      </c>
      <c r="E41" s="4">
        <v>3875.0100000000093</v>
      </c>
      <c r="F41" s="4">
        <v>169100</v>
      </c>
      <c r="G41" s="4">
        <v>4308.6200000000026</v>
      </c>
      <c r="H41" s="4">
        <v>59148.840000000004</v>
      </c>
      <c r="I41" s="1">
        <v>2019</v>
      </c>
      <c r="J41" s="2">
        <v>12</v>
      </c>
      <c r="K41" s="5">
        <v>10258</v>
      </c>
      <c r="L41" s="5">
        <v>107657</v>
      </c>
      <c r="M41" s="5">
        <v>4511.5800000000017</v>
      </c>
      <c r="N41" s="5">
        <v>47736.480000000003</v>
      </c>
      <c r="O41" s="2">
        <v>2019</v>
      </c>
      <c r="P41" s="1">
        <v>12</v>
      </c>
      <c r="Q41" s="4">
        <v>9191.0000000000291</v>
      </c>
      <c r="R41" s="4">
        <v>218495</v>
      </c>
      <c r="S41" s="4">
        <v>1690.6800000000003</v>
      </c>
      <c r="T41" s="4">
        <v>44204.467499999999</v>
      </c>
      <c r="U41" s="1">
        <v>2019</v>
      </c>
      <c r="V41" s="2">
        <v>12</v>
      </c>
      <c r="W41" s="5">
        <v>8318.0100000000093</v>
      </c>
      <c r="X41" s="5">
        <v>199588</v>
      </c>
      <c r="Y41" s="5">
        <v>6608.7700000000041</v>
      </c>
      <c r="Z41" s="5">
        <v>72422.64</v>
      </c>
      <c r="AA41" s="2">
        <v>2019</v>
      </c>
      <c r="AB41" s="1">
        <v>12</v>
      </c>
      <c r="AC41" s="4">
        <v>6912</v>
      </c>
      <c r="AD41" s="4">
        <v>90997</v>
      </c>
      <c r="AE41" s="4">
        <v>8609.2599999999948</v>
      </c>
      <c r="AF41" s="4">
        <v>73262.604999999981</v>
      </c>
      <c r="AG41" s="1">
        <v>2019</v>
      </c>
      <c r="AH41" s="2">
        <v>12</v>
      </c>
      <c r="AI41" s="5">
        <v>7567.0000000000146</v>
      </c>
      <c r="AJ41" s="5">
        <v>109551</v>
      </c>
      <c r="AK41" s="5">
        <v>3002.8000000000029</v>
      </c>
      <c r="AL41" s="5">
        <v>79320.24099999998</v>
      </c>
      <c r="AM41" s="2">
        <v>2019</v>
      </c>
      <c r="AN41" s="1">
        <v>12</v>
      </c>
      <c r="AO41" s="4">
        <v>12673.000000000015</v>
      </c>
      <c r="AP41" s="4">
        <v>98862</v>
      </c>
      <c r="AQ41" s="4">
        <v>9423.739999999998</v>
      </c>
      <c r="AR41" s="4">
        <v>55998.184499999988</v>
      </c>
      <c r="AS41" s="1">
        <v>2019</v>
      </c>
      <c r="AT41" s="2">
        <v>12</v>
      </c>
      <c r="AU41" s="5">
        <v>2755.0000000000073</v>
      </c>
      <c r="AV41" s="5">
        <v>61970</v>
      </c>
      <c r="AW41" s="5">
        <v>0</v>
      </c>
      <c r="AX41" s="5">
        <v>0</v>
      </c>
      <c r="AY41" s="2">
        <v>2019</v>
      </c>
      <c r="AZ41" s="1">
        <v>12</v>
      </c>
      <c r="BA41" s="4">
        <v>4038.9999999999854</v>
      </c>
      <c r="BB41" s="4">
        <v>86858</v>
      </c>
      <c r="BC41" s="4">
        <v>3015.3699999999953</v>
      </c>
      <c r="BD41" s="4">
        <v>70362.924499999994</v>
      </c>
      <c r="BE41" s="1">
        <v>2019</v>
      </c>
      <c r="BF41" s="2">
        <v>12</v>
      </c>
      <c r="BG41" s="5">
        <f t="shared" si="2"/>
        <v>65588.020000000077</v>
      </c>
      <c r="BH41" s="5">
        <f t="shared" si="2"/>
        <v>1143078</v>
      </c>
      <c r="BI41" s="5">
        <f t="shared" si="2"/>
        <v>41170.82</v>
      </c>
      <c r="BJ41" s="5">
        <f t="shared" si="2"/>
        <v>502456.38249999995</v>
      </c>
      <c r="BK41" s="2">
        <v>2019</v>
      </c>
    </row>
    <row r="42" spans="3:63" outlineLevel="1" x14ac:dyDescent="0.35">
      <c r="C42" s="3">
        <v>43831</v>
      </c>
      <c r="D42" s="1">
        <v>1</v>
      </c>
      <c r="E42" s="4">
        <v>83807</v>
      </c>
      <c r="F42" s="4">
        <v>83807</v>
      </c>
      <c r="G42" s="4">
        <v>6314.2</v>
      </c>
      <c r="H42" s="4">
        <v>6314.2</v>
      </c>
      <c r="I42" s="1">
        <v>2020</v>
      </c>
      <c r="J42" s="2">
        <v>1</v>
      </c>
      <c r="K42" s="5">
        <v>45978</v>
      </c>
      <c r="L42" s="5">
        <v>45978</v>
      </c>
      <c r="M42" s="5">
        <v>5471.22</v>
      </c>
      <c r="N42" s="5">
        <v>5471.22</v>
      </c>
      <c r="O42" s="2">
        <v>2020</v>
      </c>
      <c r="P42" s="1">
        <v>1</v>
      </c>
      <c r="Q42" s="4">
        <v>60296</v>
      </c>
      <c r="R42" s="4">
        <v>60296</v>
      </c>
      <c r="S42" s="4">
        <v>682.46</v>
      </c>
      <c r="T42" s="4">
        <v>682.46</v>
      </c>
      <c r="U42" s="1">
        <v>2020</v>
      </c>
      <c r="V42" s="2">
        <v>1</v>
      </c>
      <c r="W42" s="5">
        <v>85534</v>
      </c>
      <c r="X42" s="5">
        <v>85534</v>
      </c>
      <c r="Y42" s="5">
        <v>901.61</v>
      </c>
      <c r="Z42" s="5">
        <v>901.61</v>
      </c>
      <c r="AA42" s="2">
        <v>2020</v>
      </c>
      <c r="AB42" s="1">
        <v>1</v>
      </c>
      <c r="AC42" s="4">
        <v>22144</v>
      </c>
      <c r="AD42" s="4">
        <v>22144</v>
      </c>
      <c r="AE42" s="4">
        <v>600.51</v>
      </c>
      <c r="AF42" s="4">
        <v>600.51</v>
      </c>
      <c r="AG42" s="1">
        <v>2020</v>
      </c>
      <c r="AH42" s="2">
        <v>1</v>
      </c>
      <c r="AI42" s="5">
        <v>35571</v>
      </c>
      <c r="AJ42" s="5">
        <v>35571</v>
      </c>
      <c r="AK42" s="5">
        <v>10529.855</v>
      </c>
      <c r="AL42" s="5">
        <v>10529.855</v>
      </c>
      <c r="AM42" s="2">
        <v>2020</v>
      </c>
      <c r="AN42" s="1">
        <v>1</v>
      </c>
      <c r="AO42" s="4">
        <v>19756</v>
      </c>
      <c r="AP42" s="4">
        <v>19756</v>
      </c>
      <c r="AQ42" s="4">
        <v>2300.6325000000002</v>
      </c>
      <c r="AR42" s="4">
        <v>2300.6325000000002</v>
      </c>
      <c r="AS42" s="1">
        <v>2020</v>
      </c>
      <c r="AT42" s="2">
        <v>1</v>
      </c>
      <c r="AU42" s="5">
        <v>14791</v>
      </c>
      <c r="AV42" s="5">
        <v>14791</v>
      </c>
      <c r="AW42" s="5">
        <v>0</v>
      </c>
      <c r="AX42" s="5">
        <v>0</v>
      </c>
      <c r="AY42" s="2">
        <v>2020</v>
      </c>
      <c r="AZ42" s="1">
        <v>1</v>
      </c>
      <c r="BA42" s="4">
        <v>16860</v>
      </c>
      <c r="BB42" s="4">
        <v>16860</v>
      </c>
      <c r="BC42" s="4">
        <v>6121.0550000000003</v>
      </c>
      <c r="BD42" s="4">
        <v>6121.0550000000003</v>
      </c>
      <c r="BE42" s="1">
        <v>2020</v>
      </c>
      <c r="BF42" s="2">
        <v>1</v>
      </c>
      <c r="BG42" s="5">
        <f t="shared" si="2"/>
        <v>384737</v>
      </c>
      <c r="BH42" s="5">
        <f t="shared" si="2"/>
        <v>384737</v>
      </c>
      <c r="BI42" s="5">
        <f t="shared" si="2"/>
        <v>32921.542500000003</v>
      </c>
      <c r="BJ42" s="5">
        <f t="shared" si="2"/>
        <v>32921.542500000003</v>
      </c>
      <c r="BK42" s="2">
        <v>2020</v>
      </c>
    </row>
    <row r="43" spans="3:63" outlineLevel="1" x14ac:dyDescent="0.35">
      <c r="C43" s="3">
        <v>43862</v>
      </c>
      <c r="D43" s="1">
        <v>2</v>
      </c>
      <c r="E43" s="4">
        <v>8744</v>
      </c>
      <c r="F43" s="4">
        <v>92551</v>
      </c>
      <c r="G43" s="4">
        <v>1972.5000000000009</v>
      </c>
      <c r="H43" s="4">
        <v>8286.7000000000007</v>
      </c>
      <c r="I43" s="1">
        <v>2020</v>
      </c>
      <c r="J43" s="2">
        <v>2</v>
      </c>
      <c r="K43" s="5">
        <v>1323</v>
      </c>
      <c r="L43" s="5">
        <v>47301</v>
      </c>
      <c r="M43" s="5">
        <v>1538.13</v>
      </c>
      <c r="N43" s="5">
        <v>7009.35</v>
      </c>
      <c r="O43" s="2">
        <v>2020</v>
      </c>
      <c r="P43" s="1">
        <v>2</v>
      </c>
      <c r="Q43" s="4">
        <v>4957</v>
      </c>
      <c r="R43" s="4">
        <v>65253</v>
      </c>
      <c r="S43" s="4">
        <v>1384.4499999999998</v>
      </c>
      <c r="T43" s="4">
        <v>2066.91</v>
      </c>
      <c r="U43" s="1">
        <v>2020</v>
      </c>
      <c r="V43" s="2">
        <v>2</v>
      </c>
      <c r="W43" s="5">
        <v>1116</v>
      </c>
      <c r="X43" s="5">
        <v>86650</v>
      </c>
      <c r="Y43" s="5">
        <v>0</v>
      </c>
      <c r="Z43" s="5">
        <v>901.61</v>
      </c>
      <c r="AA43" s="2">
        <v>2020</v>
      </c>
      <c r="AB43" s="1">
        <v>2</v>
      </c>
      <c r="AC43" s="4">
        <v>3421</v>
      </c>
      <c r="AD43" s="4">
        <v>25565</v>
      </c>
      <c r="AE43" s="4">
        <v>115.07000000000005</v>
      </c>
      <c r="AF43" s="4">
        <v>715.58</v>
      </c>
      <c r="AG43" s="1">
        <v>2020</v>
      </c>
      <c r="AH43" s="2">
        <v>2</v>
      </c>
      <c r="AI43" s="5">
        <v>1093</v>
      </c>
      <c r="AJ43" s="5">
        <v>36664</v>
      </c>
      <c r="AK43" s="5">
        <v>57.819999999999709</v>
      </c>
      <c r="AL43" s="5">
        <v>10587.674999999999</v>
      </c>
      <c r="AM43" s="2">
        <v>2020</v>
      </c>
      <c r="AN43" s="1">
        <v>2</v>
      </c>
      <c r="AO43" s="4">
        <v>384</v>
      </c>
      <c r="AP43" s="4">
        <v>20140</v>
      </c>
      <c r="AQ43" s="4">
        <v>4.1100000000001273</v>
      </c>
      <c r="AR43" s="4">
        <v>2304.7425000000003</v>
      </c>
      <c r="AS43" s="1">
        <v>2020</v>
      </c>
      <c r="AT43" s="2">
        <v>2</v>
      </c>
      <c r="AU43" s="5">
        <v>6499</v>
      </c>
      <c r="AV43" s="5">
        <v>21290</v>
      </c>
      <c r="AW43" s="5">
        <v>0</v>
      </c>
      <c r="AX43" s="5">
        <v>0</v>
      </c>
      <c r="AY43" s="2">
        <v>2020</v>
      </c>
      <c r="AZ43" s="1">
        <v>2</v>
      </c>
      <c r="BA43" s="4">
        <v>8372</v>
      </c>
      <c r="BB43" s="4">
        <v>25232</v>
      </c>
      <c r="BC43" s="4">
        <v>4458.2969999999987</v>
      </c>
      <c r="BD43" s="4">
        <v>10579.351999999999</v>
      </c>
      <c r="BE43" s="1">
        <v>2020</v>
      </c>
      <c r="BF43" s="2">
        <v>2</v>
      </c>
      <c r="BG43" s="5">
        <f t="shared" si="2"/>
        <v>35909</v>
      </c>
      <c r="BH43" s="5">
        <f t="shared" si="2"/>
        <v>420646</v>
      </c>
      <c r="BI43" s="5">
        <f t="shared" si="2"/>
        <v>9530.3769999999986</v>
      </c>
      <c r="BJ43" s="5">
        <f t="shared" si="2"/>
        <v>42451.919500000004</v>
      </c>
      <c r="BK43" s="2">
        <v>2020</v>
      </c>
    </row>
    <row r="44" spans="3:63" outlineLevel="1" x14ac:dyDescent="0.35">
      <c r="C44" s="3">
        <v>43891</v>
      </c>
      <c r="D44" s="1">
        <v>3</v>
      </c>
      <c r="E44" s="4">
        <v>15549</v>
      </c>
      <c r="F44" s="4">
        <v>108100</v>
      </c>
      <c r="G44" s="4">
        <v>3886.3899999999994</v>
      </c>
      <c r="H44" s="4">
        <v>12173.09</v>
      </c>
      <c r="I44" s="1">
        <v>2020</v>
      </c>
      <c r="J44" s="2">
        <v>3</v>
      </c>
      <c r="K44" s="5">
        <v>1133</v>
      </c>
      <c r="L44" s="5">
        <v>48434</v>
      </c>
      <c r="M44" s="5">
        <v>101.1899999999996</v>
      </c>
      <c r="N44" s="5">
        <v>7110.54</v>
      </c>
      <c r="O44" s="2">
        <v>2020</v>
      </c>
      <c r="P44" s="1">
        <v>3</v>
      </c>
      <c r="Q44" s="4">
        <v>17207</v>
      </c>
      <c r="R44" s="4">
        <v>82460</v>
      </c>
      <c r="S44" s="4">
        <v>1462.67</v>
      </c>
      <c r="T44" s="4">
        <v>3529.58</v>
      </c>
      <c r="U44" s="1">
        <v>2020</v>
      </c>
      <c r="V44" s="2">
        <v>3</v>
      </c>
      <c r="W44" s="5">
        <v>3048</v>
      </c>
      <c r="X44" s="5">
        <v>89698</v>
      </c>
      <c r="Y44" s="5">
        <v>0</v>
      </c>
      <c r="Z44" s="5">
        <v>901.61</v>
      </c>
      <c r="AA44" s="2">
        <v>2020</v>
      </c>
      <c r="AB44" s="1">
        <v>3</v>
      </c>
      <c r="AC44" s="4">
        <v>2978</v>
      </c>
      <c r="AD44" s="4">
        <v>28543</v>
      </c>
      <c r="AE44" s="4">
        <v>5274.23</v>
      </c>
      <c r="AF44" s="4">
        <v>5989.8099999999995</v>
      </c>
      <c r="AG44" s="1">
        <v>2020</v>
      </c>
      <c r="AH44" s="2">
        <v>3</v>
      </c>
      <c r="AI44" s="5">
        <v>5275</v>
      </c>
      <c r="AJ44" s="5">
        <v>41939</v>
      </c>
      <c r="AK44" s="5">
        <v>3865.5895</v>
      </c>
      <c r="AL44" s="5">
        <v>14453.264499999999</v>
      </c>
      <c r="AM44" s="2">
        <v>2020</v>
      </c>
      <c r="AN44" s="1">
        <v>3</v>
      </c>
      <c r="AO44" s="4">
        <v>4988</v>
      </c>
      <c r="AP44" s="4">
        <v>25128</v>
      </c>
      <c r="AQ44" s="4">
        <v>3789.835</v>
      </c>
      <c r="AR44" s="4">
        <v>6094.5775000000003</v>
      </c>
      <c r="AS44" s="1">
        <v>2020</v>
      </c>
      <c r="AT44" s="2">
        <v>3</v>
      </c>
      <c r="AU44" s="5">
        <v>2380</v>
      </c>
      <c r="AV44" s="5">
        <v>23670</v>
      </c>
      <c r="AW44" s="5">
        <v>0</v>
      </c>
      <c r="AX44" s="5">
        <v>0</v>
      </c>
      <c r="AY44" s="2">
        <v>2020</v>
      </c>
      <c r="AZ44" s="1">
        <v>3</v>
      </c>
      <c r="BA44" s="4">
        <v>18640</v>
      </c>
      <c r="BB44" s="4">
        <v>43872</v>
      </c>
      <c r="BC44" s="4">
        <v>8653.5169999999998</v>
      </c>
      <c r="BD44" s="4">
        <v>19232.868999999999</v>
      </c>
      <c r="BE44" s="1">
        <v>2020</v>
      </c>
      <c r="BF44" s="2">
        <v>3</v>
      </c>
      <c r="BG44" s="5">
        <f t="shared" si="2"/>
        <v>71198</v>
      </c>
      <c r="BH44" s="5">
        <f t="shared" si="2"/>
        <v>491844</v>
      </c>
      <c r="BI44" s="5">
        <f t="shared" si="2"/>
        <v>27033.4215</v>
      </c>
      <c r="BJ44" s="5">
        <f t="shared" si="2"/>
        <v>69485.340999999986</v>
      </c>
      <c r="BK44" s="2">
        <v>2020</v>
      </c>
    </row>
    <row r="45" spans="3:63" outlineLevel="1" x14ac:dyDescent="0.35">
      <c r="C45" s="3">
        <v>43922</v>
      </c>
      <c r="D45" s="1">
        <v>4</v>
      </c>
      <c r="E45" s="4">
        <v>25055</v>
      </c>
      <c r="F45" s="4">
        <v>133155</v>
      </c>
      <c r="G45" s="4">
        <v>13928.009999999998</v>
      </c>
      <c r="H45" s="4">
        <v>26101.1</v>
      </c>
      <c r="I45" s="1">
        <v>2020</v>
      </c>
      <c r="J45" s="2">
        <v>4</v>
      </c>
      <c r="K45" s="5">
        <v>12914</v>
      </c>
      <c r="L45" s="5">
        <v>61348</v>
      </c>
      <c r="M45" s="5">
        <v>6638.0000000000009</v>
      </c>
      <c r="N45" s="5">
        <v>13748.54</v>
      </c>
      <c r="O45" s="2">
        <v>2020</v>
      </c>
      <c r="P45" s="1">
        <v>4</v>
      </c>
      <c r="Q45" s="4">
        <v>25449</v>
      </c>
      <c r="R45" s="4">
        <v>107909</v>
      </c>
      <c r="S45" s="4">
        <v>10168.02</v>
      </c>
      <c r="T45" s="4">
        <v>13697.6</v>
      </c>
      <c r="U45" s="1">
        <v>2020</v>
      </c>
      <c r="V45" s="2">
        <v>4</v>
      </c>
      <c r="W45" s="5">
        <v>11577</v>
      </c>
      <c r="X45" s="5">
        <v>101275</v>
      </c>
      <c r="Y45" s="5">
        <v>4948.21</v>
      </c>
      <c r="Z45" s="5">
        <v>5849.82</v>
      </c>
      <c r="AA45" s="2">
        <v>2020</v>
      </c>
      <c r="AB45" s="1">
        <v>4</v>
      </c>
      <c r="AC45" s="4">
        <v>18383</v>
      </c>
      <c r="AD45" s="4">
        <v>46926</v>
      </c>
      <c r="AE45" s="4">
        <v>14946.115</v>
      </c>
      <c r="AF45" s="4">
        <v>20935.924999999999</v>
      </c>
      <c r="AG45" s="1">
        <v>2020</v>
      </c>
      <c r="AH45" s="2">
        <v>4</v>
      </c>
      <c r="AI45" s="5">
        <v>12119</v>
      </c>
      <c r="AJ45" s="5">
        <v>54058</v>
      </c>
      <c r="AK45" s="5">
        <v>5561.1</v>
      </c>
      <c r="AL45" s="5">
        <v>20014.3645</v>
      </c>
      <c r="AM45" s="2">
        <v>2020</v>
      </c>
      <c r="AN45" s="1">
        <v>4</v>
      </c>
      <c r="AO45" s="4">
        <v>24226</v>
      </c>
      <c r="AP45" s="4">
        <v>49354</v>
      </c>
      <c r="AQ45" s="4">
        <v>14330.465</v>
      </c>
      <c r="AR45" s="4">
        <v>20425.0425</v>
      </c>
      <c r="AS45" s="1">
        <v>2020</v>
      </c>
      <c r="AT45" s="2">
        <v>4</v>
      </c>
      <c r="AU45" s="5">
        <v>16419</v>
      </c>
      <c r="AV45" s="5">
        <v>40089</v>
      </c>
      <c r="AW45" s="5">
        <v>0</v>
      </c>
      <c r="AX45" s="5">
        <v>0</v>
      </c>
      <c r="AY45" s="2">
        <v>2020</v>
      </c>
      <c r="AZ45" s="1">
        <v>4</v>
      </c>
      <c r="BA45" s="4">
        <v>5143</v>
      </c>
      <c r="BB45" s="4">
        <v>49015</v>
      </c>
      <c r="BC45" s="4">
        <v>6304.7350000000006</v>
      </c>
      <c r="BD45" s="4">
        <v>25537.603999999999</v>
      </c>
      <c r="BE45" s="1">
        <v>2020</v>
      </c>
      <c r="BF45" s="2">
        <v>4</v>
      </c>
      <c r="BG45" s="5">
        <f t="shared" si="2"/>
        <v>151285</v>
      </c>
      <c r="BH45" s="5">
        <f t="shared" si="2"/>
        <v>643129</v>
      </c>
      <c r="BI45" s="5">
        <f t="shared" si="2"/>
        <v>76824.654999999999</v>
      </c>
      <c r="BJ45" s="5">
        <f t="shared" si="2"/>
        <v>146309.99599999998</v>
      </c>
      <c r="BK45" s="2">
        <v>2020</v>
      </c>
    </row>
    <row r="46" spans="3:63" outlineLevel="1" x14ac:dyDescent="0.35">
      <c r="C46" s="3">
        <v>43952</v>
      </c>
      <c r="D46" s="1">
        <v>5</v>
      </c>
      <c r="E46" s="4">
        <v>30530</v>
      </c>
      <c r="F46" s="4">
        <v>163685</v>
      </c>
      <c r="G46" s="4">
        <v>10425.267050000002</v>
      </c>
      <c r="H46" s="4">
        <v>36526.367050000001</v>
      </c>
      <c r="I46" s="1">
        <v>2020</v>
      </c>
      <c r="J46" s="2">
        <v>5</v>
      </c>
      <c r="K46" s="5">
        <v>17258</v>
      </c>
      <c r="L46" s="5">
        <v>78606</v>
      </c>
      <c r="M46" s="5">
        <v>7498.0091749999992</v>
      </c>
      <c r="N46" s="5">
        <v>21246.549175</v>
      </c>
      <c r="O46" s="2">
        <v>2020</v>
      </c>
      <c r="P46" s="1">
        <v>5</v>
      </c>
      <c r="Q46" s="4">
        <v>28885</v>
      </c>
      <c r="R46" s="4">
        <v>136794</v>
      </c>
      <c r="S46" s="4">
        <v>1912.2458700000007</v>
      </c>
      <c r="T46" s="4">
        <v>15609.845870000001</v>
      </c>
      <c r="U46" s="1">
        <v>2020</v>
      </c>
      <c r="V46" s="2">
        <v>5</v>
      </c>
      <c r="W46" s="5">
        <v>14880</v>
      </c>
      <c r="X46" s="5">
        <v>116155</v>
      </c>
      <c r="Y46" s="5">
        <v>12845.627339999999</v>
      </c>
      <c r="Z46" s="5">
        <v>18695.447339999999</v>
      </c>
      <c r="AA46" s="2">
        <v>2020</v>
      </c>
      <c r="AB46" s="1">
        <v>5</v>
      </c>
      <c r="AC46" s="4">
        <v>8355</v>
      </c>
      <c r="AD46" s="4">
        <v>55281</v>
      </c>
      <c r="AE46" s="4">
        <v>5780.1499399999993</v>
      </c>
      <c r="AF46" s="4">
        <v>26716.074939999999</v>
      </c>
      <c r="AG46" s="1">
        <v>2020</v>
      </c>
      <c r="AH46" s="2">
        <v>5</v>
      </c>
      <c r="AI46" s="5">
        <v>13697</v>
      </c>
      <c r="AJ46" s="5">
        <v>67755</v>
      </c>
      <c r="AK46" s="5">
        <v>6956.8001000000004</v>
      </c>
      <c r="AL46" s="5">
        <v>26971.1646</v>
      </c>
      <c r="AM46" s="2">
        <v>2020</v>
      </c>
      <c r="AN46" s="1">
        <v>5</v>
      </c>
      <c r="AO46" s="4">
        <v>14073</v>
      </c>
      <c r="AP46" s="4">
        <v>63427</v>
      </c>
      <c r="AQ46" s="4">
        <v>7784.8550299999988</v>
      </c>
      <c r="AR46" s="4">
        <v>28209.897529999998</v>
      </c>
      <c r="AS46" s="1">
        <v>2020</v>
      </c>
      <c r="AT46" s="2">
        <v>5</v>
      </c>
      <c r="AU46" s="5">
        <v>3653</v>
      </c>
      <c r="AV46" s="5">
        <v>43742</v>
      </c>
      <c r="AW46" s="5">
        <v>0</v>
      </c>
      <c r="AX46" s="5">
        <v>0</v>
      </c>
      <c r="AY46" s="2">
        <v>2020</v>
      </c>
      <c r="AZ46" s="1">
        <v>5</v>
      </c>
      <c r="BA46" s="4">
        <v>6305</v>
      </c>
      <c r="BB46" s="4">
        <v>55320</v>
      </c>
      <c r="BC46" s="4">
        <v>1962.8877949999987</v>
      </c>
      <c r="BD46" s="4">
        <v>27500.491794999998</v>
      </c>
      <c r="BE46" s="1">
        <v>2020</v>
      </c>
      <c r="BF46" s="2">
        <v>5</v>
      </c>
      <c r="BG46" s="5">
        <f t="shared" si="2"/>
        <v>137636</v>
      </c>
      <c r="BH46" s="5">
        <f t="shared" si="2"/>
        <v>780765</v>
      </c>
      <c r="BI46" s="5">
        <f t="shared" si="2"/>
        <v>55165.842300000004</v>
      </c>
      <c r="BJ46" s="5">
        <f t="shared" si="2"/>
        <v>201475.83829999997</v>
      </c>
      <c r="BK46" s="2">
        <v>2020</v>
      </c>
    </row>
    <row r="47" spans="3:63" outlineLevel="1" x14ac:dyDescent="0.35">
      <c r="C47" s="3">
        <v>43983</v>
      </c>
      <c r="D47" s="1">
        <v>6</v>
      </c>
      <c r="E47" s="4">
        <v>20504</v>
      </c>
      <c r="F47" s="4">
        <v>184189</v>
      </c>
      <c r="G47" s="4">
        <v>8995.3150000000023</v>
      </c>
      <c r="H47" s="4">
        <v>45521.682050000003</v>
      </c>
      <c r="I47" s="1">
        <v>2020</v>
      </c>
      <c r="J47" s="2">
        <v>6</v>
      </c>
      <c r="K47" s="5">
        <v>7932</v>
      </c>
      <c r="L47" s="5">
        <v>86538</v>
      </c>
      <c r="M47" s="5">
        <v>8116.9800000000032</v>
      </c>
      <c r="N47" s="5">
        <v>29363.529175000003</v>
      </c>
      <c r="O47" s="2">
        <v>2020</v>
      </c>
      <c r="P47" s="1">
        <v>6</v>
      </c>
      <c r="Q47" s="4">
        <v>13538</v>
      </c>
      <c r="R47" s="4">
        <v>150332</v>
      </c>
      <c r="S47" s="4">
        <v>8120.9849999999969</v>
      </c>
      <c r="T47" s="4">
        <v>23730.830869999998</v>
      </c>
      <c r="U47" s="1">
        <v>2020</v>
      </c>
      <c r="V47" s="2">
        <v>6</v>
      </c>
      <c r="W47" s="5">
        <v>24912</v>
      </c>
      <c r="X47" s="5">
        <v>141067</v>
      </c>
      <c r="Y47" s="5">
        <v>6969.5900000000038</v>
      </c>
      <c r="Z47" s="5">
        <v>25665.037340000003</v>
      </c>
      <c r="AA47" s="2">
        <v>2020</v>
      </c>
      <c r="AB47" s="1">
        <v>6</v>
      </c>
      <c r="AC47" s="4">
        <v>3817</v>
      </c>
      <c r="AD47" s="4">
        <v>59098</v>
      </c>
      <c r="AE47" s="4">
        <v>7627.3949999999968</v>
      </c>
      <c r="AF47" s="4">
        <v>34343.469939999995</v>
      </c>
      <c r="AG47" s="1">
        <v>2020</v>
      </c>
      <c r="AH47" s="2">
        <v>6</v>
      </c>
      <c r="AI47" s="5">
        <v>8345</v>
      </c>
      <c r="AJ47" s="5">
        <v>76100</v>
      </c>
      <c r="AK47" s="5">
        <v>10108.735000000004</v>
      </c>
      <c r="AL47" s="5">
        <v>37079.899600000004</v>
      </c>
      <c r="AM47" s="2">
        <v>2020</v>
      </c>
      <c r="AN47" s="1">
        <v>6</v>
      </c>
      <c r="AO47" s="4">
        <v>12703</v>
      </c>
      <c r="AP47" s="4">
        <v>76130</v>
      </c>
      <c r="AQ47" s="4">
        <v>5238.1700000000019</v>
      </c>
      <c r="AR47" s="4">
        <v>33448.06753</v>
      </c>
      <c r="AS47" s="1">
        <v>2020</v>
      </c>
      <c r="AT47" s="2">
        <v>6</v>
      </c>
      <c r="AU47" s="5">
        <v>3742</v>
      </c>
      <c r="AV47" s="5">
        <v>47484</v>
      </c>
      <c r="AW47" s="5">
        <v>0</v>
      </c>
      <c r="AX47" s="5">
        <v>0</v>
      </c>
      <c r="AY47" s="2">
        <v>2020</v>
      </c>
      <c r="AZ47" s="1">
        <v>6</v>
      </c>
      <c r="BA47" s="4">
        <v>3192</v>
      </c>
      <c r="BB47" s="4">
        <v>58512</v>
      </c>
      <c r="BC47" s="4">
        <v>1709.7000000000007</v>
      </c>
      <c r="BD47" s="4">
        <v>29210.191794999999</v>
      </c>
      <c r="BE47" s="1">
        <v>2020</v>
      </c>
      <c r="BF47" s="2">
        <v>6</v>
      </c>
      <c r="BG47" s="5">
        <f t="shared" si="2"/>
        <v>98685</v>
      </c>
      <c r="BH47" s="5">
        <f t="shared" si="2"/>
        <v>879450</v>
      </c>
      <c r="BI47" s="5">
        <f t="shared" si="2"/>
        <v>56886.869999999995</v>
      </c>
      <c r="BJ47" s="5">
        <f t="shared" si="2"/>
        <v>258362.7083</v>
      </c>
      <c r="BK47" s="2">
        <v>2020</v>
      </c>
    </row>
    <row r="48" spans="3:63" outlineLevel="1" x14ac:dyDescent="0.35">
      <c r="C48" s="3">
        <v>44013</v>
      </c>
      <c r="D48" s="1">
        <v>7</v>
      </c>
      <c r="E48" s="4">
        <v>24273</v>
      </c>
      <c r="F48" s="4">
        <v>208462</v>
      </c>
      <c r="G48" s="4">
        <v>11119.020000000004</v>
      </c>
      <c r="H48" s="4">
        <v>56640.702050000007</v>
      </c>
      <c r="I48" s="1">
        <v>2020</v>
      </c>
      <c r="J48" s="2">
        <v>7</v>
      </c>
      <c r="K48" s="5">
        <v>11838</v>
      </c>
      <c r="L48" s="5">
        <v>98376</v>
      </c>
      <c r="M48" s="5">
        <v>7445.0649999999951</v>
      </c>
      <c r="N48" s="5">
        <v>36808.594174999998</v>
      </c>
      <c r="O48" s="2">
        <v>2020</v>
      </c>
      <c r="P48" s="1">
        <v>7</v>
      </c>
      <c r="Q48" s="4">
        <v>19093</v>
      </c>
      <c r="R48" s="4">
        <v>169425</v>
      </c>
      <c r="S48" s="4">
        <v>2682.3600000000006</v>
      </c>
      <c r="T48" s="4">
        <v>26413.190869999999</v>
      </c>
      <c r="U48" s="1">
        <v>2020</v>
      </c>
      <c r="V48" s="2">
        <v>7</v>
      </c>
      <c r="W48" s="5">
        <v>24726</v>
      </c>
      <c r="X48" s="5">
        <v>165793</v>
      </c>
      <c r="Y48" s="5">
        <v>3834.7499999999964</v>
      </c>
      <c r="Z48" s="5">
        <v>29499.787339999999</v>
      </c>
      <c r="AA48" s="2">
        <v>2020</v>
      </c>
      <c r="AB48" s="1">
        <v>7</v>
      </c>
      <c r="AC48" s="4">
        <v>7714</v>
      </c>
      <c r="AD48" s="4">
        <v>66812</v>
      </c>
      <c r="AE48" s="4">
        <v>8465.2700000000041</v>
      </c>
      <c r="AF48" s="4">
        <v>42808.739939999999</v>
      </c>
      <c r="AG48" s="1">
        <v>2020</v>
      </c>
      <c r="AH48" s="2">
        <v>7</v>
      </c>
      <c r="AI48" s="5">
        <v>9569</v>
      </c>
      <c r="AJ48" s="5">
        <v>85669</v>
      </c>
      <c r="AK48" s="5">
        <v>8426.989999999998</v>
      </c>
      <c r="AL48" s="5">
        <v>45506.889600000002</v>
      </c>
      <c r="AM48" s="2">
        <v>2020</v>
      </c>
      <c r="AN48" s="1">
        <v>7</v>
      </c>
      <c r="AO48" s="4">
        <v>4297</v>
      </c>
      <c r="AP48" s="4">
        <v>80427</v>
      </c>
      <c r="AQ48" s="4">
        <v>4143.5550000000003</v>
      </c>
      <c r="AR48" s="4">
        <v>37591.622530000001</v>
      </c>
      <c r="AS48" s="1">
        <v>2020</v>
      </c>
      <c r="AT48" s="2">
        <v>7</v>
      </c>
      <c r="AU48" s="5">
        <v>2761</v>
      </c>
      <c r="AV48" s="5">
        <v>50245</v>
      </c>
      <c r="AW48" s="5">
        <v>0</v>
      </c>
      <c r="AX48" s="5">
        <v>0</v>
      </c>
      <c r="AY48" s="2">
        <v>2020</v>
      </c>
      <c r="AZ48" s="1">
        <v>7</v>
      </c>
      <c r="BA48" s="4">
        <v>2892</v>
      </c>
      <c r="BB48" s="4">
        <v>61404</v>
      </c>
      <c r="BC48" s="4">
        <v>755.52999999999884</v>
      </c>
      <c r="BD48" s="4">
        <v>29965.721794999998</v>
      </c>
      <c r="BE48" s="1">
        <v>2020</v>
      </c>
      <c r="BF48" s="2">
        <v>7</v>
      </c>
      <c r="BG48" s="5">
        <f t="shared" si="2"/>
        <v>107163</v>
      </c>
      <c r="BH48" s="5">
        <f t="shared" si="2"/>
        <v>986613</v>
      </c>
      <c r="BI48" s="5">
        <f t="shared" si="2"/>
        <v>46872.539999999994</v>
      </c>
      <c r="BJ48" s="5">
        <f t="shared" si="2"/>
        <v>305235.24830000004</v>
      </c>
      <c r="BK48" s="2">
        <v>2020</v>
      </c>
    </row>
    <row r="49" spans="3:63" outlineLevel="1" x14ac:dyDescent="0.35">
      <c r="C49" s="3">
        <v>44044</v>
      </c>
      <c r="D49" s="1">
        <v>8</v>
      </c>
      <c r="E49" s="4">
        <v>9612</v>
      </c>
      <c r="F49" s="4">
        <v>218074</v>
      </c>
      <c r="G49" s="4">
        <v>8008.0950000000012</v>
      </c>
      <c r="H49" s="4">
        <v>64648.797050000008</v>
      </c>
      <c r="I49" s="1">
        <v>2020</v>
      </c>
      <c r="J49" s="2">
        <v>8</v>
      </c>
      <c r="K49" s="5">
        <v>6946</v>
      </c>
      <c r="L49" s="5">
        <v>105322</v>
      </c>
      <c r="M49" s="5">
        <v>3294.0849999999991</v>
      </c>
      <c r="N49" s="5">
        <v>40102.679174999997</v>
      </c>
      <c r="O49" s="2">
        <v>2020</v>
      </c>
      <c r="P49" s="1">
        <v>8</v>
      </c>
      <c r="Q49" s="4">
        <v>7235</v>
      </c>
      <c r="R49" s="4">
        <v>176660</v>
      </c>
      <c r="S49" s="4">
        <v>4308.7050000000017</v>
      </c>
      <c r="T49" s="4">
        <v>30721.89587</v>
      </c>
      <c r="U49" s="1">
        <v>2020</v>
      </c>
      <c r="V49" s="2">
        <v>8</v>
      </c>
      <c r="W49" s="5">
        <v>9597</v>
      </c>
      <c r="X49" s="5">
        <v>175390</v>
      </c>
      <c r="Y49" s="5">
        <v>3823.6150000000016</v>
      </c>
      <c r="Z49" s="5">
        <v>33323.402340000001</v>
      </c>
      <c r="AA49" s="2">
        <v>2020</v>
      </c>
      <c r="AB49" s="1">
        <v>8</v>
      </c>
      <c r="AC49" s="4">
        <v>3842</v>
      </c>
      <c r="AD49" s="4">
        <v>70654</v>
      </c>
      <c r="AE49" s="4">
        <v>10101.599999999999</v>
      </c>
      <c r="AF49" s="4">
        <v>52910.339939999998</v>
      </c>
      <c r="AG49" s="1">
        <v>2020</v>
      </c>
      <c r="AH49" s="2">
        <v>8</v>
      </c>
      <c r="AI49" s="5">
        <v>6063</v>
      </c>
      <c r="AJ49" s="5">
        <v>91732</v>
      </c>
      <c r="AK49" s="5">
        <v>7896.8899999999994</v>
      </c>
      <c r="AL49" s="5">
        <v>53403.779600000002</v>
      </c>
      <c r="AM49" s="2">
        <v>2020</v>
      </c>
      <c r="AN49" s="1">
        <v>8</v>
      </c>
      <c r="AO49" s="4">
        <v>4736</v>
      </c>
      <c r="AP49" s="4">
        <v>85163</v>
      </c>
      <c r="AQ49" s="4">
        <v>1186.9150000000009</v>
      </c>
      <c r="AR49" s="4">
        <v>38778.537530000001</v>
      </c>
      <c r="AS49" s="1">
        <v>2020</v>
      </c>
      <c r="AT49" s="2">
        <v>8</v>
      </c>
      <c r="AU49" s="5">
        <v>422</v>
      </c>
      <c r="AV49" s="5">
        <v>50667</v>
      </c>
      <c r="AW49" s="5">
        <v>0</v>
      </c>
      <c r="AX49" s="5">
        <v>0</v>
      </c>
      <c r="AY49" s="2">
        <v>2020</v>
      </c>
      <c r="AZ49" s="1">
        <v>8</v>
      </c>
      <c r="BA49" s="4">
        <v>1098</v>
      </c>
      <c r="BB49" s="4">
        <v>62502</v>
      </c>
      <c r="BC49" s="4">
        <v>3383.4850000000006</v>
      </c>
      <c r="BD49" s="4">
        <v>33349.206794999998</v>
      </c>
      <c r="BE49" s="1">
        <v>2020</v>
      </c>
      <c r="BF49" s="2">
        <v>8</v>
      </c>
      <c r="BG49" s="5">
        <f t="shared" si="2"/>
        <v>49551</v>
      </c>
      <c r="BH49" s="5">
        <f t="shared" si="2"/>
        <v>1036164</v>
      </c>
      <c r="BI49" s="5">
        <f t="shared" si="2"/>
        <v>42003.390000000007</v>
      </c>
      <c r="BJ49" s="5">
        <f t="shared" si="2"/>
        <v>347238.63829999999</v>
      </c>
      <c r="BK49" s="2">
        <v>2020</v>
      </c>
    </row>
    <row r="50" spans="3:63" outlineLevel="1" x14ac:dyDescent="0.35">
      <c r="C50" s="3">
        <v>44075</v>
      </c>
      <c r="D50" s="1">
        <v>9</v>
      </c>
      <c r="E50" s="4">
        <v>8661</v>
      </c>
      <c r="F50" s="4">
        <v>226735</v>
      </c>
      <c r="G50" s="4">
        <v>3148.9049999999988</v>
      </c>
      <c r="H50" s="4">
        <v>67797.702050000007</v>
      </c>
      <c r="I50" s="1">
        <v>2020</v>
      </c>
      <c r="J50" s="2">
        <v>9</v>
      </c>
      <c r="K50" s="5">
        <v>3570</v>
      </c>
      <c r="L50" s="5">
        <v>108892</v>
      </c>
      <c r="M50" s="5">
        <v>4919.0329999999958</v>
      </c>
      <c r="N50" s="5">
        <v>45021.712174999993</v>
      </c>
      <c r="O50" s="2">
        <v>2020</v>
      </c>
      <c r="P50" s="1">
        <v>9</v>
      </c>
      <c r="Q50" s="4">
        <v>8467</v>
      </c>
      <c r="R50" s="4">
        <v>185127</v>
      </c>
      <c r="S50" s="4">
        <v>5291.5900000000038</v>
      </c>
      <c r="T50" s="4">
        <v>36013.485870000004</v>
      </c>
      <c r="U50" s="1">
        <v>2020</v>
      </c>
      <c r="V50" s="2">
        <v>9</v>
      </c>
      <c r="W50" s="5">
        <v>11643</v>
      </c>
      <c r="X50" s="5">
        <v>187033</v>
      </c>
      <c r="Y50" s="5">
        <v>5617.5650000000023</v>
      </c>
      <c r="Z50" s="5">
        <v>38940.967340000003</v>
      </c>
      <c r="AA50" s="2">
        <v>2020</v>
      </c>
      <c r="AB50" s="1">
        <v>9</v>
      </c>
      <c r="AC50" s="4">
        <v>2958</v>
      </c>
      <c r="AD50" s="4">
        <v>73612</v>
      </c>
      <c r="AE50" s="4">
        <v>203.62000000000262</v>
      </c>
      <c r="AF50" s="4">
        <v>53113.959940000001</v>
      </c>
      <c r="AG50" s="1">
        <v>2020</v>
      </c>
      <c r="AH50" s="2">
        <v>9</v>
      </c>
      <c r="AI50" s="5">
        <v>10623</v>
      </c>
      <c r="AJ50" s="5">
        <v>102355</v>
      </c>
      <c r="AK50" s="5">
        <v>4150.739999999998</v>
      </c>
      <c r="AL50" s="5">
        <v>57554.5196</v>
      </c>
      <c r="AM50" s="2">
        <v>2020</v>
      </c>
      <c r="AN50" s="1">
        <v>9</v>
      </c>
      <c r="AO50" s="4">
        <v>3788</v>
      </c>
      <c r="AP50" s="4">
        <v>88951</v>
      </c>
      <c r="AQ50" s="4">
        <v>1091.5149999999994</v>
      </c>
      <c r="AR50" s="4">
        <v>39870.052530000001</v>
      </c>
      <c r="AS50" s="1">
        <v>2020</v>
      </c>
      <c r="AT50" s="2">
        <v>9</v>
      </c>
      <c r="AU50" s="5">
        <v>1774</v>
      </c>
      <c r="AV50" s="5">
        <v>52441</v>
      </c>
      <c r="AW50" s="5">
        <v>0</v>
      </c>
      <c r="AX50" s="5">
        <v>0</v>
      </c>
      <c r="AY50" s="2">
        <v>2020</v>
      </c>
      <c r="AZ50" s="1">
        <v>9</v>
      </c>
      <c r="BA50" s="4">
        <v>1940</v>
      </c>
      <c r="BB50" s="4">
        <v>64442</v>
      </c>
      <c r="BC50" s="4">
        <v>3728.875</v>
      </c>
      <c r="BD50" s="4">
        <v>37078.081794999998</v>
      </c>
      <c r="BE50" s="1">
        <v>2020</v>
      </c>
      <c r="BF50" s="2">
        <v>9</v>
      </c>
      <c r="BG50" s="5">
        <f t="shared" si="2"/>
        <v>53424</v>
      </c>
      <c r="BH50" s="5">
        <f t="shared" si="2"/>
        <v>1089588</v>
      </c>
      <c r="BI50" s="5">
        <f t="shared" si="2"/>
        <v>28151.843000000001</v>
      </c>
      <c r="BJ50" s="5">
        <f t="shared" si="2"/>
        <v>375390.48129999998</v>
      </c>
      <c r="BK50" s="2">
        <v>2020</v>
      </c>
    </row>
    <row r="51" spans="3:63" outlineLevel="1" x14ac:dyDescent="0.35">
      <c r="C51" s="3">
        <v>44105</v>
      </c>
      <c r="D51" s="1">
        <v>10</v>
      </c>
      <c r="E51" s="4">
        <v>8622</v>
      </c>
      <c r="F51" s="4">
        <v>235357</v>
      </c>
      <c r="G51" s="4">
        <v>1538.7899999999936</v>
      </c>
      <c r="H51" s="4">
        <v>69336.492050000001</v>
      </c>
      <c r="I51" s="1">
        <v>2020</v>
      </c>
      <c r="J51" s="2">
        <v>10</v>
      </c>
      <c r="K51" s="5">
        <v>12257</v>
      </c>
      <c r="L51" s="5">
        <v>121149</v>
      </c>
      <c r="M51" s="5">
        <v>6324.8300000000017</v>
      </c>
      <c r="N51" s="5">
        <v>51346.542174999995</v>
      </c>
      <c r="O51" s="2">
        <v>2020</v>
      </c>
      <c r="P51" s="1">
        <v>10</v>
      </c>
      <c r="Q51" s="4">
        <v>6516</v>
      </c>
      <c r="R51" s="4">
        <v>191643</v>
      </c>
      <c r="S51" s="4">
        <v>4003.539499999999</v>
      </c>
      <c r="T51" s="4">
        <v>40017.025370000003</v>
      </c>
      <c r="U51" s="1">
        <v>2020</v>
      </c>
      <c r="V51" s="2">
        <v>10</v>
      </c>
      <c r="W51" s="5">
        <v>2660</v>
      </c>
      <c r="X51" s="5">
        <v>189693</v>
      </c>
      <c r="Y51" s="5">
        <v>5564.4700000000012</v>
      </c>
      <c r="Z51" s="5">
        <v>44505.437340000004</v>
      </c>
      <c r="AA51" s="2">
        <v>2020</v>
      </c>
      <c r="AB51" s="1">
        <v>10</v>
      </c>
      <c r="AC51" s="4">
        <v>1387</v>
      </c>
      <c r="AD51" s="4">
        <v>74999</v>
      </c>
      <c r="AE51" s="4">
        <v>6145.5400000000009</v>
      </c>
      <c r="AF51" s="4">
        <v>59259.499940000002</v>
      </c>
      <c r="AG51" s="1">
        <v>2020</v>
      </c>
      <c r="AH51" s="2">
        <v>10</v>
      </c>
      <c r="AI51" s="5">
        <v>1246</v>
      </c>
      <c r="AJ51" s="5">
        <v>103601</v>
      </c>
      <c r="AK51" s="5">
        <v>983.41999999999825</v>
      </c>
      <c r="AL51" s="5">
        <v>58537.939599999998</v>
      </c>
      <c r="AM51" s="2">
        <v>2020</v>
      </c>
      <c r="AN51" s="1">
        <v>10</v>
      </c>
      <c r="AO51" s="4">
        <v>2952</v>
      </c>
      <c r="AP51" s="4">
        <v>91903</v>
      </c>
      <c r="AQ51" s="4">
        <v>0</v>
      </c>
      <c r="AR51" s="4">
        <v>39870.052530000001</v>
      </c>
      <c r="AS51" s="1">
        <v>2020</v>
      </c>
      <c r="AT51" s="2">
        <v>10</v>
      </c>
      <c r="AU51" s="5">
        <v>896</v>
      </c>
      <c r="AV51" s="5">
        <v>53337</v>
      </c>
      <c r="AW51" s="5">
        <v>0</v>
      </c>
      <c r="AX51" s="5">
        <v>0</v>
      </c>
      <c r="AY51" s="2">
        <v>2020</v>
      </c>
      <c r="AZ51" s="1">
        <v>10</v>
      </c>
      <c r="BA51" s="4">
        <v>931</v>
      </c>
      <c r="BB51" s="4">
        <v>65373</v>
      </c>
      <c r="BC51" s="4">
        <v>2131.5199999999968</v>
      </c>
      <c r="BD51" s="4">
        <v>39209.601794999995</v>
      </c>
      <c r="BE51" s="1">
        <v>2020</v>
      </c>
      <c r="BF51" s="2">
        <v>10</v>
      </c>
      <c r="BG51" s="5">
        <f t="shared" si="2"/>
        <v>37467</v>
      </c>
      <c r="BH51" s="5">
        <f t="shared" si="2"/>
        <v>1127055</v>
      </c>
      <c r="BI51" s="5">
        <f t="shared" si="2"/>
        <v>26692.109499999991</v>
      </c>
      <c r="BJ51" s="5">
        <f t="shared" si="2"/>
        <v>402082.59080000001</v>
      </c>
      <c r="BK51" s="2">
        <v>2020</v>
      </c>
    </row>
    <row r="52" spans="3:63" outlineLevel="1" x14ac:dyDescent="0.35">
      <c r="C52" s="3">
        <v>44136</v>
      </c>
      <c r="D52" s="1">
        <v>11</v>
      </c>
      <c r="E52" s="4">
        <v>13414</v>
      </c>
      <c r="F52" s="4">
        <v>248771</v>
      </c>
      <c r="G52" s="4">
        <v>11745.220000000001</v>
      </c>
      <c r="H52" s="4">
        <v>81081.712050000002</v>
      </c>
      <c r="I52" s="1">
        <v>2020</v>
      </c>
      <c r="J52" s="2">
        <v>11</v>
      </c>
      <c r="K52" s="5">
        <v>1567</v>
      </c>
      <c r="L52" s="5">
        <v>122716</v>
      </c>
      <c r="M52" s="5">
        <v>3287.5</v>
      </c>
      <c r="N52" s="5">
        <v>54634.042174999995</v>
      </c>
      <c r="O52" s="2">
        <v>2020</v>
      </c>
      <c r="P52" s="1">
        <v>11</v>
      </c>
      <c r="Q52" s="4">
        <v>4892</v>
      </c>
      <c r="R52" s="4">
        <v>196535</v>
      </c>
      <c r="S52" s="4">
        <v>4090.9300000000003</v>
      </c>
      <c r="T52" s="4">
        <v>44107.955370000003</v>
      </c>
      <c r="U52" s="1">
        <v>2020</v>
      </c>
      <c r="V52" s="2">
        <v>11</v>
      </c>
      <c r="W52" s="5">
        <v>2909</v>
      </c>
      <c r="X52" s="5">
        <v>192602</v>
      </c>
      <c r="Y52" s="5">
        <v>1528.3499999999985</v>
      </c>
      <c r="Z52" s="5">
        <v>46033.787340000003</v>
      </c>
      <c r="AA52" s="2">
        <v>2020</v>
      </c>
      <c r="AB52" s="1">
        <v>11</v>
      </c>
      <c r="AC52" s="4">
        <v>980</v>
      </c>
      <c r="AD52" s="4">
        <v>75979</v>
      </c>
      <c r="AE52" s="4">
        <v>271.45999999999913</v>
      </c>
      <c r="AF52" s="4">
        <v>59530.959940000001</v>
      </c>
      <c r="AG52" s="1">
        <v>2020</v>
      </c>
      <c r="AH52" s="2">
        <v>11</v>
      </c>
      <c r="AI52" s="5">
        <v>324</v>
      </c>
      <c r="AJ52" s="5">
        <v>103925</v>
      </c>
      <c r="AK52" s="5">
        <v>3535.9000000000015</v>
      </c>
      <c r="AL52" s="5">
        <v>62073.839599999999</v>
      </c>
      <c r="AM52" s="2">
        <v>2020</v>
      </c>
      <c r="AN52" s="1">
        <v>11</v>
      </c>
      <c r="AO52" s="4">
        <v>5768</v>
      </c>
      <c r="AP52" s="4">
        <v>97671</v>
      </c>
      <c r="AQ52" s="4">
        <v>937.75600000000122</v>
      </c>
      <c r="AR52" s="4">
        <v>40807.808530000002</v>
      </c>
      <c r="AS52" s="1">
        <v>2020</v>
      </c>
      <c r="AT52" s="2">
        <v>11</v>
      </c>
      <c r="AU52" s="5">
        <v>913</v>
      </c>
      <c r="AV52" s="5">
        <v>54250</v>
      </c>
      <c r="AW52" s="5">
        <v>0</v>
      </c>
      <c r="AX52" s="5">
        <v>0</v>
      </c>
      <c r="AY52" s="2">
        <v>2020</v>
      </c>
      <c r="AZ52" s="1">
        <v>11</v>
      </c>
      <c r="BA52" s="4">
        <v>4834</v>
      </c>
      <c r="BB52" s="4">
        <v>70207</v>
      </c>
      <c r="BC52" s="4">
        <v>3876.5400000000009</v>
      </c>
      <c r="BD52" s="4">
        <v>43086.141794999996</v>
      </c>
      <c r="BE52" s="1">
        <v>2020</v>
      </c>
      <c r="BF52" s="2">
        <v>11</v>
      </c>
      <c r="BG52" s="5">
        <f t="shared" si="2"/>
        <v>35601</v>
      </c>
      <c r="BH52" s="5">
        <f t="shared" si="2"/>
        <v>1162656</v>
      </c>
      <c r="BI52" s="5">
        <f t="shared" si="2"/>
        <v>29273.656000000003</v>
      </c>
      <c r="BJ52" s="5">
        <f t="shared" si="2"/>
        <v>431356.24680000002</v>
      </c>
      <c r="BK52" s="2">
        <v>2020</v>
      </c>
    </row>
    <row r="53" spans="3:63" outlineLevel="1" x14ac:dyDescent="0.35">
      <c r="C53" s="3">
        <v>44166</v>
      </c>
      <c r="D53" s="1">
        <v>12</v>
      </c>
      <c r="E53" s="4">
        <v>4418</v>
      </c>
      <c r="F53" s="4">
        <v>253189</v>
      </c>
      <c r="G53" s="4">
        <v>1411.2299999999959</v>
      </c>
      <c r="H53" s="4">
        <v>82492.942049999998</v>
      </c>
      <c r="I53" s="1">
        <v>2020</v>
      </c>
      <c r="J53" s="2">
        <v>12</v>
      </c>
      <c r="K53" s="5">
        <v>2629</v>
      </c>
      <c r="L53" s="5">
        <v>125345</v>
      </c>
      <c r="M53" s="5">
        <v>299.25</v>
      </c>
      <c r="N53" s="5">
        <v>54933.292174999995</v>
      </c>
      <c r="O53" s="2">
        <v>2020</v>
      </c>
      <c r="P53" s="1">
        <v>12</v>
      </c>
      <c r="Q53" s="4">
        <v>-5783</v>
      </c>
      <c r="R53" s="4">
        <v>190752</v>
      </c>
      <c r="S53" s="4">
        <v>1304.3600000000006</v>
      </c>
      <c r="T53" s="4">
        <v>45412.315370000004</v>
      </c>
      <c r="U53" s="1">
        <v>2020</v>
      </c>
      <c r="V53" s="2">
        <v>12</v>
      </c>
      <c r="W53" s="5">
        <v>1567</v>
      </c>
      <c r="X53" s="5">
        <v>194169</v>
      </c>
      <c r="Y53" s="5">
        <v>228.4800000000032</v>
      </c>
      <c r="Z53" s="5">
        <v>46262.267340000006</v>
      </c>
      <c r="AA53" s="2">
        <v>2020</v>
      </c>
      <c r="AB53" s="1">
        <v>12</v>
      </c>
      <c r="AC53" s="4">
        <v>3615</v>
      </c>
      <c r="AD53" s="4">
        <v>79594</v>
      </c>
      <c r="AE53" s="4">
        <v>4063.2750000000015</v>
      </c>
      <c r="AF53" s="4">
        <v>63594.234940000002</v>
      </c>
      <c r="AG53" s="1">
        <v>2020</v>
      </c>
      <c r="AH53" s="2">
        <v>12</v>
      </c>
      <c r="AI53" s="5">
        <v>2090</v>
      </c>
      <c r="AJ53" s="5">
        <v>106015</v>
      </c>
      <c r="AK53" s="5">
        <v>9375.9200000000055</v>
      </c>
      <c r="AL53" s="5">
        <v>71449.759600000005</v>
      </c>
      <c r="AM53" s="2">
        <v>2020</v>
      </c>
      <c r="AN53" s="1">
        <v>12</v>
      </c>
      <c r="AO53" s="4">
        <v>8604</v>
      </c>
      <c r="AP53" s="4">
        <v>106275</v>
      </c>
      <c r="AQ53" s="4">
        <v>6316.989999999998</v>
      </c>
      <c r="AR53" s="4">
        <v>47124.79853</v>
      </c>
      <c r="AS53" s="1">
        <v>2020</v>
      </c>
      <c r="AT53" s="2">
        <v>12</v>
      </c>
      <c r="AU53" s="5">
        <v>2663</v>
      </c>
      <c r="AV53" s="5">
        <v>56913</v>
      </c>
      <c r="AW53" s="5">
        <v>0</v>
      </c>
      <c r="AX53" s="5">
        <v>0</v>
      </c>
      <c r="AY53" s="2">
        <v>2020</v>
      </c>
      <c r="AZ53" s="1">
        <v>12</v>
      </c>
      <c r="BA53" s="4">
        <v>2609</v>
      </c>
      <c r="BB53" s="4">
        <v>72816</v>
      </c>
      <c r="BC53" s="4">
        <v>1207.0049999999974</v>
      </c>
      <c r="BD53" s="4">
        <v>44293.146794999993</v>
      </c>
      <c r="BE53" s="1">
        <v>2020</v>
      </c>
      <c r="BF53" s="2">
        <v>12</v>
      </c>
      <c r="BG53" s="5">
        <f t="shared" si="2"/>
        <v>22412</v>
      </c>
      <c r="BH53" s="5">
        <f t="shared" si="2"/>
        <v>1185068</v>
      </c>
      <c r="BI53" s="5">
        <f t="shared" si="2"/>
        <v>24206.510000000002</v>
      </c>
      <c r="BJ53" s="5">
        <f t="shared" si="2"/>
        <v>455562.75680000003</v>
      </c>
      <c r="BK53" s="2">
        <v>2020</v>
      </c>
    </row>
    <row r="54" spans="3:63" outlineLevel="1" x14ac:dyDescent="0.35">
      <c r="C54" s="3">
        <v>44197</v>
      </c>
      <c r="D54" s="1">
        <v>1</v>
      </c>
      <c r="E54" s="4">
        <v>44861</v>
      </c>
      <c r="F54" s="4">
        <v>44861</v>
      </c>
      <c r="G54" s="4">
        <v>2347.2499999999991</v>
      </c>
      <c r="H54" s="4">
        <v>2347.2499999999991</v>
      </c>
      <c r="I54" s="1">
        <v>2021</v>
      </c>
      <c r="J54" s="2">
        <v>1</v>
      </c>
      <c r="K54" s="5">
        <v>28923</v>
      </c>
      <c r="L54" s="5">
        <v>28923</v>
      </c>
      <c r="M54" s="5">
        <v>2063.5</v>
      </c>
      <c r="N54" s="5">
        <v>2063.5</v>
      </c>
      <c r="O54" s="2">
        <v>2021</v>
      </c>
      <c r="P54" s="1">
        <v>1</v>
      </c>
      <c r="Q54" s="4">
        <v>63532</v>
      </c>
      <c r="R54" s="4">
        <v>63532</v>
      </c>
      <c r="S54" s="4">
        <v>1614.5350000000001</v>
      </c>
      <c r="T54" s="4">
        <v>1614.5350000000001</v>
      </c>
      <c r="U54" s="1">
        <v>2021</v>
      </c>
      <c r="V54" s="2">
        <v>1</v>
      </c>
      <c r="W54" s="5">
        <v>76501</v>
      </c>
      <c r="X54" s="5">
        <v>76501</v>
      </c>
      <c r="Y54" s="5">
        <v>2223.4799999999996</v>
      </c>
      <c r="Z54" s="5">
        <v>2223.4799999999996</v>
      </c>
      <c r="AA54" s="2">
        <v>2021</v>
      </c>
      <c r="AB54" s="1">
        <v>1</v>
      </c>
      <c r="AC54" s="4">
        <v>17903</v>
      </c>
      <c r="AD54" s="4">
        <v>17903</v>
      </c>
      <c r="AE54" s="4">
        <v>340.37000000000006</v>
      </c>
      <c r="AF54" s="4">
        <v>340.37000000000006</v>
      </c>
      <c r="AG54" s="1">
        <v>2021</v>
      </c>
      <c r="AH54" s="2">
        <v>1</v>
      </c>
      <c r="AI54" s="5">
        <v>24494</v>
      </c>
      <c r="AJ54" s="5">
        <v>24494</v>
      </c>
      <c r="AK54" s="5">
        <v>5233.6899999999987</v>
      </c>
      <c r="AL54" s="5">
        <v>5233.6899999999987</v>
      </c>
      <c r="AM54" s="2">
        <v>2021</v>
      </c>
      <c r="AN54" s="1">
        <v>1</v>
      </c>
      <c r="AO54" s="4">
        <v>23289</v>
      </c>
      <c r="AP54" s="4">
        <v>23289</v>
      </c>
      <c r="AQ54" s="4">
        <v>0</v>
      </c>
      <c r="AR54" s="4">
        <v>0</v>
      </c>
      <c r="AS54" s="1">
        <v>2021</v>
      </c>
      <c r="AT54" s="2">
        <v>1</v>
      </c>
      <c r="AU54" s="5">
        <v>16079</v>
      </c>
      <c r="AV54" s="5">
        <v>16079</v>
      </c>
      <c r="AW54" s="5">
        <v>0</v>
      </c>
      <c r="AX54" s="5">
        <v>0</v>
      </c>
      <c r="AY54" s="2">
        <v>2021</v>
      </c>
      <c r="AZ54" s="1">
        <v>1</v>
      </c>
      <c r="BA54" s="4">
        <v>20767</v>
      </c>
      <c r="BB54" s="4">
        <v>20767</v>
      </c>
      <c r="BC54" s="4">
        <v>186.61999999999998</v>
      </c>
      <c r="BD54" s="4">
        <v>186.61999999999998</v>
      </c>
      <c r="BE54" s="1">
        <v>2021</v>
      </c>
      <c r="BF54" s="2">
        <v>1</v>
      </c>
      <c r="BG54" s="5">
        <f t="shared" si="2"/>
        <v>316349</v>
      </c>
      <c r="BH54" s="5">
        <f t="shared" si="2"/>
        <v>316349</v>
      </c>
      <c r="BI54" s="5">
        <f t="shared" si="2"/>
        <v>14009.445</v>
      </c>
      <c r="BJ54" s="5">
        <f t="shared" si="2"/>
        <v>14009.445</v>
      </c>
      <c r="BK54" s="2">
        <v>2021</v>
      </c>
    </row>
    <row r="55" spans="3:63" outlineLevel="1" x14ac:dyDescent="0.35">
      <c r="C55" s="3">
        <v>44228</v>
      </c>
      <c r="D55" s="1">
        <v>2</v>
      </c>
      <c r="E55" s="4">
        <v>23305</v>
      </c>
      <c r="F55" s="4">
        <v>68166</v>
      </c>
      <c r="G55" s="4">
        <v>3964</v>
      </c>
      <c r="H55" s="4">
        <v>6311.2499999999991</v>
      </c>
      <c r="I55" s="1">
        <v>2021</v>
      </c>
      <c r="J55" s="2">
        <v>2</v>
      </c>
      <c r="K55" s="5">
        <v>11017</v>
      </c>
      <c r="L55" s="5">
        <v>39940</v>
      </c>
      <c r="M55" s="5">
        <v>800.90999999999985</v>
      </c>
      <c r="N55" s="5">
        <v>2864.41</v>
      </c>
      <c r="O55" s="2">
        <v>2021</v>
      </c>
      <c r="P55" s="1">
        <v>2</v>
      </c>
      <c r="Q55" s="4">
        <v>6152</v>
      </c>
      <c r="R55" s="4">
        <v>69684</v>
      </c>
      <c r="S55" s="4">
        <v>3143.8</v>
      </c>
      <c r="T55" s="4">
        <v>4758.335</v>
      </c>
      <c r="U55" s="1">
        <v>2021</v>
      </c>
      <c r="V55" s="2">
        <v>2</v>
      </c>
      <c r="W55" s="5">
        <v>9398</v>
      </c>
      <c r="X55" s="5">
        <v>85899</v>
      </c>
      <c r="Y55" s="5">
        <v>77.130000000000109</v>
      </c>
      <c r="Z55" s="5">
        <v>2300.6099999999997</v>
      </c>
      <c r="AA55" s="2">
        <v>2021</v>
      </c>
      <c r="AB55" s="1">
        <v>2</v>
      </c>
      <c r="AC55" s="4">
        <v>908</v>
      </c>
      <c r="AD55" s="4">
        <v>18811</v>
      </c>
      <c r="AE55" s="4">
        <v>867.3900000000001</v>
      </c>
      <c r="AF55" s="4">
        <v>1207.7600000000002</v>
      </c>
      <c r="AG55" s="1">
        <v>2021</v>
      </c>
      <c r="AH55" s="2">
        <v>2</v>
      </c>
      <c r="AI55" s="5">
        <v>4321</v>
      </c>
      <c r="AJ55" s="5">
        <v>28815</v>
      </c>
      <c r="AK55" s="5">
        <v>5869.7599999999984</v>
      </c>
      <c r="AL55" s="5">
        <v>11103.449999999997</v>
      </c>
      <c r="AM55" s="2">
        <v>2021</v>
      </c>
      <c r="AN55" s="1">
        <v>2</v>
      </c>
      <c r="AO55" s="4">
        <v>3161</v>
      </c>
      <c r="AP55" s="4">
        <v>26450</v>
      </c>
      <c r="AQ55" s="4">
        <v>5960.9399999999923</v>
      </c>
      <c r="AR55" s="4">
        <v>5960.9399999999923</v>
      </c>
      <c r="AS55" s="1">
        <v>2021</v>
      </c>
      <c r="AT55" s="2">
        <v>2</v>
      </c>
      <c r="AU55" s="5">
        <v>3685</v>
      </c>
      <c r="AV55" s="5">
        <v>19764</v>
      </c>
      <c r="AW55" s="5">
        <v>0</v>
      </c>
      <c r="AX55" s="5">
        <v>0</v>
      </c>
      <c r="AY55" s="2">
        <v>2021</v>
      </c>
      <c r="AZ55" s="1">
        <v>2</v>
      </c>
      <c r="BA55" s="4">
        <v>2414</v>
      </c>
      <c r="BB55" s="4">
        <v>23181</v>
      </c>
      <c r="BC55" s="4">
        <v>1828.8500000000001</v>
      </c>
      <c r="BD55" s="4">
        <v>2015.47</v>
      </c>
      <c r="BE55" s="1">
        <v>2021</v>
      </c>
      <c r="BF55" s="2">
        <v>2</v>
      </c>
      <c r="BG55" s="5">
        <f t="shared" si="2"/>
        <v>64361</v>
      </c>
      <c r="BH55" s="5">
        <f t="shared" si="2"/>
        <v>380710</v>
      </c>
      <c r="BI55" s="5">
        <f t="shared" si="2"/>
        <v>22512.779999999988</v>
      </c>
      <c r="BJ55" s="5">
        <f t="shared" si="2"/>
        <v>36522.224999999991</v>
      </c>
      <c r="BK55" s="2">
        <v>2021</v>
      </c>
    </row>
    <row r="56" spans="3:63" outlineLevel="1" x14ac:dyDescent="0.35">
      <c r="C56" s="3">
        <v>44256</v>
      </c>
      <c r="D56" s="1">
        <v>3</v>
      </c>
      <c r="E56" s="4">
        <v>9516</v>
      </c>
      <c r="F56" s="4">
        <v>77682</v>
      </c>
      <c r="G56" s="4">
        <v>2812.0950000000003</v>
      </c>
      <c r="H56" s="4">
        <v>9123.3449999999993</v>
      </c>
      <c r="I56" s="1">
        <v>2021</v>
      </c>
      <c r="J56" s="2">
        <v>3</v>
      </c>
      <c r="K56" s="5">
        <v>8342</v>
      </c>
      <c r="L56" s="5">
        <v>48282</v>
      </c>
      <c r="M56" s="5">
        <v>1639.085</v>
      </c>
      <c r="N56" s="5">
        <v>4503.4949999999999</v>
      </c>
      <c r="O56" s="2">
        <v>2021</v>
      </c>
      <c r="P56" s="1">
        <v>3</v>
      </c>
      <c r="Q56" s="4">
        <v>10560</v>
      </c>
      <c r="R56" s="4">
        <v>80244</v>
      </c>
      <c r="S56" s="4">
        <v>142.35999999999967</v>
      </c>
      <c r="T56" s="4">
        <v>4900.6949999999997</v>
      </c>
      <c r="U56" s="1">
        <v>2021</v>
      </c>
      <c r="V56" s="2">
        <v>3</v>
      </c>
      <c r="W56" s="5">
        <v>10669</v>
      </c>
      <c r="X56" s="5">
        <v>96568</v>
      </c>
      <c r="Y56" s="5">
        <v>297.86999999999989</v>
      </c>
      <c r="Z56" s="5">
        <v>2598.4799999999996</v>
      </c>
      <c r="AA56" s="2">
        <v>2021</v>
      </c>
      <c r="AB56" s="1">
        <v>3</v>
      </c>
      <c r="AC56" s="4">
        <v>2860</v>
      </c>
      <c r="AD56" s="4">
        <v>21671</v>
      </c>
      <c r="AE56" s="4">
        <v>4223.46</v>
      </c>
      <c r="AF56" s="4">
        <v>5431.22</v>
      </c>
      <c r="AG56" s="1">
        <v>2021</v>
      </c>
      <c r="AH56" s="2">
        <v>3</v>
      </c>
      <c r="AI56" s="5">
        <v>6123</v>
      </c>
      <c r="AJ56" s="5">
        <v>34938</v>
      </c>
      <c r="AK56" s="5">
        <v>6369.7000000000007</v>
      </c>
      <c r="AL56" s="5">
        <v>17473.149999999998</v>
      </c>
      <c r="AM56" s="2">
        <v>2021</v>
      </c>
      <c r="AN56" s="1">
        <v>3</v>
      </c>
      <c r="AO56" s="4">
        <v>5085</v>
      </c>
      <c r="AP56" s="4">
        <v>31535</v>
      </c>
      <c r="AQ56" s="4">
        <v>2159.7200000000003</v>
      </c>
      <c r="AR56" s="4">
        <v>8120.6599999999926</v>
      </c>
      <c r="AS56" s="1">
        <v>2021</v>
      </c>
      <c r="AT56" s="2">
        <v>3</v>
      </c>
      <c r="AU56" s="5">
        <v>2703</v>
      </c>
      <c r="AV56" s="5">
        <v>22467</v>
      </c>
      <c r="AW56" s="5">
        <v>0</v>
      </c>
      <c r="AX56" s="5">
        <v>0</v>
      </c>
      <c r="AY56" s="2">
        <v>2021</v>
      </c>
      <c r="AZ56" s="1">
        <v>3</v>
      </c>
      <c r="BA56" s="4">
        <v>8472</v>
      </c>
      <c r="BB56" s="4">
        <v>31653</v>
      </c>
      <c r="BC56" s="4">
        <v>7312.9849999999997</v>
      </c>
      <c r="BD56" s="4">
        <v>9328.4549999999999</v>
      </c>
      <c r="BE56" s="1">
        <v>2021</v>
      </c>
      <c r="BF56" s="2">
        <v>3</v>
      </c>
      <c r="BG56" s="5">
        <f t="shared" si="2"/>
        <v>64330</v>
      </c>
      <c r="BH56" s="5">
        <f t="shared" si="2"/>
        <v>445040</v>
      </c>
      <c r="BI56" s="5">
        <f t="shared" si="2"/>
        <v>24957.275000000001</v>
      </c>
      <c r="BJ56" s="5">
        <f t="shared" si="2"/>
        <v>61479.499999999985</v>
      </c>
      <c r="BK56" s="2">
        <v>2021</v>
      </c>
    </row>
    <row r="57" spans="3:63" outlineLevel="1" x14ac:dyDescent="0.35">
      <c r="C57" s="3">
        <v>44287</v>
      </c>
      <c r="D57" s="1">
        <v>4</v>
      </c>
      <c r="E57" s="4">
        <v>37284</v>
      </c>
      <c r="F57" s="4">
        <v>114966</v>
      </c>
      <c r="G57" s="4">
        <v>3252.8850000000002</v>
      </c>
      <c r="H57" s="4">
        <v>12376.23</v>
      </c>
      <c r="I57" s="1">
        <v>2021</v>
      </c>
      <c r="J57" s="2">
        <v>4</v>
      </c>
      <c r="K57" s="5">
        <v>9658</v>
      </c>
      <c r="L57" s="5">
        <v>57940</v>
      </c>
      <c r="M57" s="5">
        <v>5783.6600000000008</v>
      </c>
      <c r="N57" s="5">
        <v>10287.155000000001</v>
      </c>
      <c r="O57" s="2">
        <v>2021</v>
      </c>
      <c r="P57" s="1">
        <v>4</v>
      </c>
      <c r="Q57" s="4">
        <v>21044</v>
      </c>
      <c r="R57" s="4">
        <v>101288</v>
      </c>
      <c r="S57" s="4">
        <v>5644.6900000000005</v>
      </c>
      <c r="T57" s="4">
        <v>10545.385</v>
      </c>
      <c r="U57" s="1">
        <v>2021</v>
      </c>
      <c r="V57" s="2">
        <v>4</v>
      </c>
      <c r="W57" s="5">
        <v>25013</v>
      </c>
      <c r="X57" s="5">
        <v>121581</v>
      </c>
      <c r="Y57" s="5">
        <v>4791.7299999999996</v>
      </c>
      <c r="Z57" s="5">
        <v>7390.2099999999991</v>
      </c>
      <c r="AA57" s="2">
        <v>2021</v>
      </c>
      <c r="AB57" s="1">
        <v>4</v>
      </c>
      <c r="AC57" s="4">
        <v>16012</v>
      </c>
      <c r="AD57" s="4">
        <v>37683</v>
      </c>
      <c r="AE57" s="4">
        <v>13390.105</v>
      </c>
      <c r="AF57" s="4">
        <v>18821.325000000001</v>
      </c>
      <c r="AG57" s="1">
        <v>2021</v>
      </c>
      <c r="AH57" s="2">
        <v>4</v>
      </c>
      <c r="AI57" s="5">
        <v>9153</v>
      </c>
      <c r="AJ57" s="5">
        <v>44091</v>
      </c>
      <c r="AK57" s="5">
        <v>5173.7049999999981</v>
      </c>
      <c r="AL57" s="5">
        <v>22646.854999999996</v>
      </c>
      <c r="AM57" s="2">
        <v>2021</v>
      </c>
      <c r="AN57" s="1">
        <v>4</v>
      </c>
      <c r="AO57" s="4">
        <v>15737</v>
      </c>
      <c r="AP57" s="4">
        <v>47272</v>
      </c>
      <c r="AQ57" s="4">
        <v>9739.8349999999991</v>
      </c>
      <c r="AR57" s="4">
        <v>17860.494999999992</v>
      </c>
      <c r="AS57" s="1">
        <v>2021</v>
      </c>
      <c r="AT57" s="2">
        <v>4</v>
      </c>
      <c r="AU57" s="5">
        <v>12210</v>
      </c>
      <c r="AV57" s="5">
        <v>34677</v>
      </c>
      <c r="AW57" s="5">
        <v>0</v>
      </c>
      <c r="AX57" s="5">
        <v>0</v>
      </c>
      <c r="AY57" s="2">
        <v>2021</v>
      </c>
      <c r="AZ57" s="1">
        <v>4</v>
      </c>
      <c r="BA57" s="4">
        <v>9338</v>
      </c>
      <c r="BB57" s="4">
        <v>40991</v>
      </c>
      <c r="BC57" s="4">
        <v>3185.9799999999996</v>
      </c>
      <c r="BD57" s="4">
        <v>12514.434999999999</v>
      </c>
      <c r="BE57" s="1">
        <v>2021</v>
      </c>
      <c r="BF57" s="2">
        <v>4</v>
      </c>
      <c r="BG57" s="5">
        <f t="shared" si="2"/>
        <v>155449</v>
      </c>
      <c r="BH57" s="5">
        <f t="shared" si="2"/>
        <v>600489</v>
      </c>
      <c r="BI57" s="5">
        <f t="shared" si="2"/>
        <v>50962.590000000011</v>
      </c>
      <c r="BJ57" s="5">
        <f t="shared" si="2"/>
        <v>112442.09</v>
      </c>
      <c r="BK57" s="2">
        <v>2021</v>
      </c>
    </row>
    <row r="58" spans="3:63" outlineLevel="1" x14ac:dyDescent="0.35">
      <c r="C58" s="3">
        <v>44317</v>
      </c>
      <c r="D58" s="1">
        <v>5</v>
      </c>
      <c r="E58" s="4">
        <v>36987</v>
      </c>
      <c r="F58" s="4">
        <v>151953</v>
      </c>
      <c r="G58" s="4">
        <v>16697.865000000013</v>
      </c>
      <c r="H58" s="4">
        <v>29074.095000000012</v>
      </c>
      <c r="I58" s="1">
        <v>2021</v>
      </c>
      <c r="J58" s="2">
        <v>5</v>
      </c>
      <c r="K58" s="5">
        <v>18020</v>
      </c>
      <c r="L58" s="5">
        <v>75960</v>
      </c>
      <c r="M58" s="5">
        <v>16010.140000000012</v>
      </c>
      <c r="N58" s="5">
        <v>26297.295000000013</v>
      </c>
      <c r="O58" s="2">
        <v>2021</v>
      </c>
      <c r="P58" s="1">
        <v>5</v>
      </c>
      <c r="Q58" s="4">
        <v>20875</v>
      </c>
      <c r="R58" s="4">
        <v>122163</v>
      </c>
      <c r="S58" s="4">
        <v>4105.6199999999972</v>
      </c>
      <c r="T58" s="4">
        <v>14651.004999999997</v>
      </c>
      <c r="U58" s="1">
        <v>2021</v>
      </c>
      <c r="V58" s="2">
        <v>5</v>
      </c>
      <c r="W58" s="5">
        <v>15572</v>
      </c>
      <c r="X58" s="5">
        <v>137153</v>
      </c>
      <c r="Y58" s="5">
        <v>15451.389999999992</v>
      </c>
      <c r="Z58" s="5">
        <v>22841.599999999991</v>
      </c>
      <c r="AA58" s="2">
        <v>2021</v>
      </c>
      <c r="AB58" s="1">
        <v>5</v>
      </c>
      <c r="AC58" s="4">
        <v>9587</v>
      </c>
      <c r="AD58" s="4">
        <v>47270</v>
      </c>
      <c r="AE58" s="4">
        <v>7225.5700000000033</v>
      </c>
      <c r="AF58" s="4">
        <v>26046.895000000004</v>
      </c>
      <c r="AG58" s="1">
        <v>2021</v>
      </c>
      <c r="AH58" s="2">
        <v>5</v>
      </c>
      <c r="AI58" s="5">
        <v>8325</v>
      </c>
      <c r="AJ58" s="5">
        <v>52416</v>
      </c>
      <c r="AK58" s="5">
        <v>6687.43</v>
      </c>
      <c r="AL58" s="5">
        <v>29334.284999999996</v>
      </c>
      <c r="AM58" s="2">
        <v>2021</v>
      </c>
      <c r="AN58" s="1">
        <v>5</v>
      </c>
      <c r="AO58" s="4">
        <v>14978</v>
      </c>
      <c r="AP58" s="4">
        <v>62250</v>
      </c>
      <c r="AQ58" s="4">
        <v>7301.0299999999988</v>
      </c>
      <c r="AR58" s="4">
        <v>25161.524999999991</v>
      </c>
      <c r="AS58" s="1">
        <v>2021</v>
      </c>
      <c r="AT58" s="2">
        <v>5</v>
      </c>
      <c r="AU58" s="5">
        <v>12694</v>
      </c>
      <c r="AV58" s="5">
        <v>47371</v>
      </c>
      <c r="AW58" s="5">
        <v>0</v>
      </c>
      <c r="AX58" s="5">
        <v>0</v>
      </c>
      <c r="AY58" s="2">
        <v>2021</v>
      </c>
      <c r="AZ58" s="1">
        <v>5</v>
      </c>
      <c r="BA58" s="4">
        <v>4707</v>
      </c>
      <c r="BB58" s="4">
        <v>45698</v>
      </c>
      <c r="BC58" s="4">
        <v>2065.3799999999992</v>
      </c>
      <c r="BD58" s="4">
        <v>14579.814999999999</v>
      </c>
      <c r="BE58" s="1">
        <v>2021</v>
      </c>
      <c r="BF58" s="2">
        <v>5</v>
      </c>
      <c r="BG58" s="5">
        <f t="shared" si="2"/>
        <v>141745</v>
      </c>
      <c r="BH58" s="5">
        <f t="shared" si="2"/>
        <v>742234</v>
      </c>
      <c r="BI58" s="5">
        <f t="shared" si="2"/>
        <v>75544.425000000017</v>
      </c>
      <c r="BJ58" s="5">
        <f t="shared" si="2"/>
        <v>187986.51500000001</v>
      </c>
      <c r="BK58" s="2">
        <v>2021</v>
      </c>
    </row>
    <row r="59" spans="3:63" outlineLevel="1" x14ac:dyDescent="0.35">
      <c r="C59" s="3">
        <v>44348</v>
      </c>
      <c r="D59" s="1">
        <v>6</v>
      </c>
      <c r="E59" s="4">
        <v>16523</v>
      </c>
      <c r="F59" s="4">
        <v>168476</v>
      </c>
      <c r="G59" s="4">
        <v>3195.2999999999993</v>
      </c>
      <c r="H59" s="4">
        <v>32269.395000000011</v>
      </c>
      <c r="I59" s="1">
        <v>2021</v>
      </c>
      <c r="J59" s="2">
        <v>6</v>
      </c>
      <c r="K59" s="5">
        <v>19173</v>
      </c>
      <c r="L59" s="5">
        <v>95133</v>
      </c>
      <c r="M59" s="5">
        <v>1580.5999999999985</v>
      </c>
      <c r="N59" s="5">
        <v>27877.895000000011</v>
      </c>
      <c r="O59" s="2">
        <v>2021</v>
      </c>
      <c r="P59" s="1">
        <v>6</v>
      </c>
      <c r="Q59" s="4">
        <v>12107</v>
      </c>
      <c r="R59" s="4">
        <v>134270</v>
      </c>
      <c r="S59" s="4">
        <v>3513.66</v>
      </c>
      <c r="T59" s="4">
        <v>18164.664999999997</v>
      </c>
      <c r="U59" s="1">
        <v>2021</v>
      </c>
      <c r="V59" s="2">
        <v>6</v>
      </c>
      <c r="W59" s="5">
        <v>12917</v>
      </c>
      <c r="X59" s="5">
        <v>150070</v>
      </c>
      <c r="Y59" s="5">
        <v>2144.7000000000007</v>
      </c>
      <c r="Z59" s="5">
        <v>24986.299999999992</v>
      </c>
      <c r="AA59" s="2">
        <v>2021</v>
      </c>
      <c r="AB59" s="1">
        <v>6</v>
      </c>
      <c r="AC59" s="4">
        <v>3716</v>
      </c>
      <c r="AD59" s="4">
        <v>50986</v>
      </c>
      <c r="AE59" s="4">
        <v>6123.5550000000003</v>
      </c>
      <c r="AF59" s="4">
        <v>32170.450000000004</v>
      </c>
      <c r="AG59" s="1">
        <v>2021</v>
      </c>
      <c r="AH59" s="2">
        <v>6</v>
      </c>
      <c r="AI59" s="5">
        <v>10207</v>
      </c>
      <c r="AJ59" s="5">
        <v>62623</v>
      </c>
      <c r="AK59" s="5">
        <v>10858.830000000002</v>
      </c>
      <c r="AL59" s="5">
        <v>40193.114999999998</v>
      </c>
      <c r="AM59" s="2">
        <v>2021</v>
      </c>
      <c r="AN59" s="1">
        <v>6</v>
      </c>
      <c r="AO59" s="4">
        <v>7105</v>
      </c>
      <c r="AP59" s="4">
        <v>69355</v>
      </c>
      <c r="AQ59" s="4">
        <v>5243.119999999999</v>
      </c>
      <c r="AR59" s="4">
        <v>30404.64499999999</v>
      </c>
      <c r="AS59" s="1">
        <v>2021</v>
      </c>
      <c r="AT59" s="2">
        <v>6</v>
      </c>
      <c r="AU59" s="5">
        <v>6190</v>
      </c>
      <c r="AV59" s="5">
        <v>53561</v>
      </c>
      <c r="AW59" s="5">
        <v>0</v>
      </c>
      <c r="AX59" s="5">
        <v>0</v>
      </c>
      <c r="AY59" s="2">
        <v>2021</v>
      </c>
      <c r="AZ59" s="1">
        <v>6</v>
      </c>
      <c r="BA59" s="4">
        <v>5003</v>
      </c>
      <c r="BB59" s="4">
        <v>50701</v>
      </c>
      <c r="BC59" s="4">
        <v>3536.4399999999987</v>
      </c>
      <c r="BD59" s="4">
        <v>18116.254999999997</v>
      </c>
      <c r="BE59" s="1">
        <v>2021</v>
      </c>
      <c r="BF59" s="2">
        <v>6</v>
      </c>
      <c r="BG59" s="5">
        <f t="shared" si="2"/>
        <v>92941</v>
      </c>
      <c r="BH59" s="5">
        <f t="shared" si="2"/>
        <v>835175</v>
      </c>
      <c r="BI59" s="5">
        <f t="shared" si="2"/>
        <v>36196.205000000002</v>
      </c>
      <c r="BJ59" s="5">
        <f t="shared" si="2"/>
        <v>224182.72</v>
      </c>
      <c r="BK59" s="2">
        <v>2021</v>
      </c>
    </row>
    <row r="60" spans="3:63" outlineLevel="1" x14ac:dyDescent="0.35">
      <c r="C60" s="3">
        <v>44378</v>
      </c>
      <c r="D60" s="1">
        <v>7</v>
      </c>
      <c r="E60" s="4">
        <v>18058</v>
      </c>
      <c r="F60" s="4">
        <v>186534</v>
      </c>
      <c r="G60" s="4">
        <v>1688.3700000000026</v>
      </c>
      <c r="H60" s="4">
        <v>33957.765000000014</v>
      </c>
      <c r="I60" s="1">
        <v>2021</v>
      </c>
      <c r="J60" s="2">
        <v>7</v>
      </c>
      <c r="K60" s="5">
        <v>12718</v>
      </c>
      <c r="L60" s="5">
        <v>107851</v>
      </c>
      <c r="M60" s="5">
        <v>6096.1699999999983</v>
      </c>
      <c r="N60" s="5">
        <v>33974.06500000001</v>
      </c>
      <c r="O60" s="2">
        <v>2021</v>
      </c>
      <c r="P60" s="1">
        <v>7</v>
      </c>
      <c r="Q60" s="4">
        <v>26927</v>
      </c>
      <c r="R60" s="4">
        <v>161197</v>
      </c>
      <c r="S60" s="4">
        <v>13788.989999999998</v>
      </c>
      <c r="T60" s="4">
        <v>31953.654999999995</v>
      </c>
      <c r="U60" s="1">
        <v>2021</v>
      </c>
      <c r="V60" s="2">
        <v>7</v>
      </c>
      <c r="W60" s="5">
        <v>4219</v>
      </c>
      <c r="X60" s="5">
        <v>154289</v>
      </c>
      <c r="Y60" s="5">
        <v>4128.2200000000012</v>
      </c>
      <c r="Z60" s="5">
        <v>29114.519999999993</v>
      </c>
      <c r="AA60" s="2">
        <v>2021</v>
      </c>
      <c r="AB60" s="1">
        <v>7</v>
      </c>
      <c r="AC60" s="4">
        <v>6366</v>
      </c>
      <c r="AD60" s="4">
        <v>57352</v>
      </c>
      <c r="AE60" s="4">
        <v>9046.5799999999945</v>
      </c>
      <c r="AF60" s="4">
        <v>41217.03</v>
      </c>
      <c r="AG60" s="1">
        <v>2021</v>
      </c>
      <c r="AH60" s="2">
        <v>7</v>
      </c>
      <c r="AI60" s="5">
        <v>5219</v>
      </c>
      <c r="AJ60" s="5">
        <v>67842</v>
      </c>
      <c r="AK60" s="5">
        <v>7526.07</v>
      </c>
      <c r="AL60" s="5">
        <v>47719.184999999998</v>
      </c>
      <c r="AM60" s="2">
        <v>2021</v>
      </c>
      <c r="AN60" s="1">
        <v>7</v>
      </c>
      <c r="AO60" s="4">
        <v>5864</v>
      </c>
      <c r="AP60" s="4">
        <v>75219</v>
      </c>
      <c r="AQ60" s="4">
        <v>1618.6899999999987</v>
      </c>
      <c r="AR60" s="4">
        <v>32023.334999999988</v>
      </c>
      <c r="AS60" s="1">
        <v>2021</v>
      </c>
      <c r="AT60" s="2">
        <v>7</v>
      </c>
      <c r="AU60" s="5">
        <v>5307</v>
      </c>
      <c r="AV60" s="5">
        <v>58868</v>
      </c>
      <c r="AW60" s="5">
        <v>0</v>
      </c>
      <c r="AX60" s="5">
        <v>0</v>
      </c>
      <c r="AY60" s="2">
        <v>2021</v>
      </c>
      <c r="AZ60" s="1">
        <v>7</v>
      </c>
      <c r="BA60" s="4">
        <v>3196</v>
      </c>
      <c r="BB60" s="4">
        <v>53897</v>
      </c>
      <c r="BC60" s="4">
        <v>5528.3000000000029</v>
      </c>
      <c r="BD60" s="4">
        <v>23644.555</v>
      </c>
      <c r="BE60" s="1">
        <v>2021</v>
      </c>
      <c r="BF60" s="2">
        <v>7</v>
      </c>
      <c r="BG60" s="5">
        <f t="shared" si="2"/>
        <v>87874</v>
      </c>
      <c r="BH60" s="5">
        <f t="shared" si="2"/>
        <v>923049</v>
      </c>
      <c r="BI60" s="5">
        <f t="shared" si="2"/>
        <v>49421.39</v>
      </c>
      <c r="BJ60" s="5">
        <f t="shared" si="2"/>
        <v>273604.11</v>
      </c>
      <c r="BK60" s="2">
        <v>2021</v>
      </c>
    </row>
    <row r="61" spans="3:63" outlineLevel="1" x14ac:dyDescent="0.35">
      <c r="C61" s="3">
        <v>44409</v>
      </c>
      <c r="D61" s="1">
        <v>8</v>
      </c>
      <c r="E61" s="4">
        <v>10529</v>
      </c>
      <c r="F61" s="4">
        <v>197063</v>
      </c>
      <c r="G61" s="4">
        <v>2315.3000000000029</v>
      </c>
      <c r="H61" s="4">
        <v>36273.065000000017</v>
      </c>
      <c r="I61" s="1">
        <v>2021</v>
      </c>
      <c r="J61" s="2">
        <v>8</v>
      </c>
      <c r="K61" s="5">
        <v>8811</v>
      </c>
      <c r="L61" s="5">
        <v>116662</v>
      </c>
      <c r="M61" s="5">
        <v>5159.0150000000067</v>
      </c>
      <c r="N61" s="5">
        <v>39133.080000000016</v>
      </c>
      <c r="O61" s="2">
        <v>2021</v>
      </c>
      <c r="P61" s="1">
        <v>8</v>
      </c>
      <c r="Q61" s="4">
        <v>6937</v>
      </c>
      <c r="R61" s="4">
        <v>168134</v>
      </c>
      <c r="S61" s="4">
        <v>8775.1800000000039</v>
      </c>
      <c r="T61" s="4">
        <v>40728.834999999999</v>
      </c>
      <c r="U61" s="1">
        <v>2021</v>
      </c>
      <c r="V61" s="2">
        <v>8</v>
      </c>
      <c r="W61" s="5">
        <v>7479</v>
      </c>
      <c r="X61" s="5">
        <v>161768</v>
      </c>
      <c r="Y61" s="5">
        <v>2648.75</v>
      </c>
      <c r="Z61" s="5">
        <v>31763.269999999993</v>
      </c>
      <c r="AA61" s="2">
        <v>2021</v>
      </c>
      <c r="AB61" s="1">
        <v>8</v>
      </c>
      <c r="AC61" s="4">
        <v>3700</v>
      </c>
      <c r="AD61" s="4">
        <v>61052</v>
      </c>
      <c r="AE61" s="4">
        <v>9236.4700000000012</v>
      </c>
      <c r="AF61" s="4">
        <v>50453.5</v>
      </c>
      <c r="AG61" s="1">
        <v>2021</v>
      </c>
      <c r="AH61" s="2">
        <v>8</v>
      </c>
      <c r="AI61" s="5">
        <v>5313</v>
      </c>
      <c r="AJ61" s="5">
        <v>73155</v>
      </c>
      <c r="AK61" s="5">
        <v>9474.9200000000055</v>
      </c>
      <c r="AL61" s="5">
        <v>57194.105000000003</v>
      </c>
      <c r="AM61" s="2">
        <v>2021</v>
      </c>
      <c r="AN61" s="1">
        <v>8</v>
      </c>
      <c r="AO61" s="4">
        <v>3356</v>
      </c>
      <c r="AP61" s="4">
        <v>78575</v>
      </c>
      <c r="AQ61" s="4">
        <v>918.53999999999724</v>
      </c>
      <c r="AR61" s="4">
        <v>32941.874999999985</v>
      </c>
      <c r="AS61" s="1">
        <v>2021</v>
      </c>
      <c r="AT61" s="2">
        <v>8</v>
      </c>
      <c r="AU61" s="5">
        <v>4243</v>
      </c>
      <c r="AV61" s="5">
        <v>63111</v>
      </c>
      <c r="AW61" s="5">
        <v>0</v>
      </c>
      <c r="AX61" s="5">
        <v>0</v>
      </c>
      <c r="AY61" s="2">
        <v>2021</v>
      </c>
      <c r="AZ61" s="1">
        <v>8</v>
      </c>
      <c r="BA61" s="4">
        <v>1252</v>
      </c>
      <c r="BB61" s="4">
        <v>55149</v>
      </c>
      <c r="BC61" s="4">
        <v>4738.0950000000048</v>
      </c>
      <c r="BD61" s="4">
        <v>28382.650000000005</v>
      </c>
      <c r="BE61" s="1">
        <v>2021</v>
      </c>
      <c r="BF61" s="2">
        <v>8</v>
      </c>
      <c r="BG61" s="5">
        <f t="shared" si="2"/>
        <v>51620</v>
      </c>
      <c r="BH61" s="5">
        <f t="shared" si="2"/>
        <v>974669</v>
      </c>
      <c r="BI61" s="5">
        <f t="shared" si="2"/>
        <v>43266.270000000019</v>
      </c>
      <c r="BJ61" s="5">
        <f t="shared" si="2"/>
        <v>316870.38000000006</v>
      </c>
      <c r="BK61" s="2">
        <v>2021</v>
      </c>
    </row>
    <row r="62" spans="3:63" outlineLevel="1" x14ac:dyDescent="0.35">
      <c r="C62" s="3">
        <v>44440</v>
      </c>
      <c r="D62" s="1">
        <v>9</v>
      </c>
      <c r="E62" s="4">
        <v>9384</v>
      </c>
      <c r="F62" s="4">
        <v>206447</v>
      </c>
      <c r="G62" s="4">
        <v>5835.7799999999916</v>
      </c>
      <c r="H62" s="4">
        <v>42108.845000000008</v>
      </c>
      <c r="I62" s="1">
        <v>2021</v>
      </c>
      <c r="J62" s="2">
        <v>9</v>
      </c>
      <c r="K62" s="5">
        <v>12954</v>
      </c>
      <c r="L62" s="5">
        <v>129616</v>
      </c>
      <c r="M62" s="5">
        <v>6882.9000000000087</v>
      </c>
      <c r="N62" s="5">
        <v>46015.980000000025</v>
      </c>
      <c r="O62" s="2">
        <v>2021</v>
      </c>
      <c r="P62" s="1">
        <v>9</v>
      </c>
      <c r="Q62" s="4">
        <v>8264</v>
      </c>
      <c r="R62" s="4">
        <v>176398</v>
      </c>
      <c r="S62" s="4">
        <v>5924.9099999999962</v>
      </c>
      <c r="T62" s="4">
        <v>46653.744999999995</v>
      </c>
      <c r="U62" s="1">
        <v>2021</v>
      </c>
      <c r="V62" s="2">
        <v>9</v>
      </c>
      <c r="W62" s="5">
        <v>7744</v>
      </c>
      <c r="X62" s="5">
        <v>169512</v>
      </c>
      <c r="Y62" s="5">
        <v>4735.119999999999</v>
      </c>
      <c r="Z62" s="5">
        <v>36498.389999999992</v>
      </c>
      <c r="AA62" s="2">
        <v>2021</v>
      </c>
      <c r="AB62" s="1">
        <v>9</v>
      </c>
      <c r="AC62" s="4">
        <v>1569</v>
      </c>
      <c r="AD62" s="4">
        <v>62621</v>
      </c>
      <c r="AE62" s="4">
        <v>4606.9000000000015</v>
      </c>
      <c r="AF62" s="4">
        <v>55060.4</v>
      </c>
      <c r="AG62" s="1">
        <v>2021</v>
      </c>
      <c r="AH62" s="2">
        <v>9</v>
      </c>
      <c r="AI62" s="5">
        <v>5776</v>
      </c>
      <c r="AJ62" s="5">
        <v>78931</v>
      </c>
      <c r="AK62" s="5">
        <v>6526.4700000000012</v>
      </c>
      <c r="AL62" s="5">
        <v>63720.575000000004</v>
      </c>
      <c r="AM62" s="2">
        <v>2021</v>
      </c>
      <c r="AN62" s="1">
        <v>9</v>
      </c>
      <c r="AO62" s="4">
        <v>670</v>
      </c>
      <c r="AP62" s="4">
        <v>79245</v>
      </c>
      <c r="AQ62" s="4">
        <v>1041.5999999999985</v>
      </c>
      <c r="AR62" s="4">
        <v>33983.474999999984</v>
      </c>
      <c r="AS62" s="1">
        <v>2021</v>
      </c>
      <c r="AT62" s="2">
        <v>9</v>
      </c>
      <c r="AU62" s="5">
        <v>1078</v>
      </c>
      <c r="AV62" s="5">
        <v>64189</v>
      </c>
      <c r="AW62" s="5">
        <v>0</v>
      </c>
      <c r="AX62" s="5">
        <v>0</v>
      </c>
      <c r="AY62" s="2">
        <v>2021</v>
      </c>
      <c r="AZ62" s="1">
        <v>9</v>
      </c>
      <c r="BA62" s="4">
        <v>760</v>
      </c>
      <c r="BB62" s="4">
        <v>55909</v>
      </c>
      <c r="BC62" s="4">
        <v>4630.0349999999999</v>
      </c>
      <c r="BD62" s="4">
        <v>33012.685000000005</v>
      </c>
      <c r="BE62" s="1">
        <v>2021</v>
      </c>
      <c r="BF62" s="2">
        <v>9</v>
      </c>
      <c r="BG62" s="5">
        <f t="shared" si="2"/>
        <v>48199</v>
      </c>
      <c r="BH62" s="5">
        <f t="shared" si="2"/>
        <v>1022868</v>
      </c>
      <c r="BI62" s="5">
        <f t="shared" si="2"/>
        <v>40183.714999999997</v>
      </c>
      <c r="BJ62" s="5">
        <f t="shared" si="2"/>
        <v>357054.09499999997</v>
      </c>
      <c r="BK62" s="2">
        <v>2021</v>
      </c>
    </row>
    <row r="63" spans="3:63" outlineLevel="1" x14ac:dyDescent="0.35">
      <c r="C63" s="3">
        <v>44470</v>
      </c>
      <c r="D63" s="1">
        <v>10</v>
      </c>
      <c r="E63" s="4">
        <v>5813</v>
      </c>
      <c r="F63" s="4">
        <v>212260</v>
      </c>
      <c r="G63" s="4">
        <v>7751.0599999999977</v>
      </c>
      <c r="H63" s="4">
        <v>49859.905000000006</v>
      </c>
      <c r="I63" s="1">
        <v>2021</v>
      </c>
      <c r="J63" s="2">
        <v>10</v>
      </c>
      <c r="K63" s="5">
        <v>11090</v>
      </c>
      <c r="L63" s="5">
        <v>140706</v>
      </c>
      <c r="M63" s="5">
        <v>8492.86</v>
      </c>
      <c r="N63" s="5">
        <v>54508.840000000026</v>
      </c>
      <c r="O63" s="2">
        <v>2021</v>
      </c>
      <c r="P63" s="1">
        <v>10</v>
      </c>
      <c r="Q63" s="4">
        <v>3628</v>
      </c>
      <c r="R63" s="4">
        <v>180026</v>
      </c>
      <c r="S63" s="4">
        <v>3075.9749999999985</v>
      </c>
      <c r="T63" s="4">
        <v>49729.719999999994</v>
      </c>
      <c r="U63" s="1">
        <v>2021</v>
      </c>
      <c r="V63" s="2">
        <v>10</v>
      </c>
      <c r="W63" s="5">
        <v>11572</v>
      </c>
      <c r="X63" s="5">
        <v>181084</v>
      </c>
      <c r="Y63" s="5">
        <v>6636.489999999998</v>
      </c>
      <c r="Z63" s="5">
        <v>43134.87999999999</v>
      </c>
      <c r="AA63" s="2">
        <v>2021</v>
      </c>
      <c r="AB63" s="1">
        <v>10</v>
      </c>
      <c r="AC63" s="4">
        <v>1590</v>
      </c>
      <c r="AD63" s="4">
        <v>64211</v>
      </c>
      <c r="AE63" s="4">
        <v>934.40499999999884</v>
      </c>
      <c r="AF63" s="4">
        <v>55994.805</v>
      </c>
      <c r="AG63" s="1">
        <v>2021</v>
      </c>
      <c r="AH63" s="2">
        <v>10</v>
      </c>
      <c r="AI63" s="5">
        <v>2524</v>
      </c>
      <c r="AJ63" s="5">
        <v>81455</v>
      </c>
      <c r="AK63" s="5">
        <v>499.06999999999971</v>
      </c>
      <c r="AL63" s="5">
        <v>64219.645000000004</v>
      </c>
      <c r="AM63" s="2">
        <v>2021</v>
      </c>
      <c r="AN63" s="1">
        <v>10</v>
      </c>
      <c r="AO63" s="4">
        <v>2071</v>
      </c>
      <c r="AP63" s="4">
        <v>81316</v>
      </c>
      <c r="AQ63" s="4">
        <v>1217.3000000000029</v>
      </c>
      <c r="AR63" s="4">
        <v>35200.774999999987</v>
      </c>
      <c r="AS63" s="1">
        <v>2021</v>
      </c>
      <c r="AT63" s="2">
        <v>10</v>
      </c>
      <c r="AU63" s="5">
        <v>929</v>
      </c>
      <c r="AV63" s="5">
        <v>65118</v>
      </c>
      <c r="AW63" s="5">
        <v>0</v>
      </c>
      <c r="AX63" s="5">
        <v>0</v>
      </c>
      <c r="AY63" s="2">
        <v>2021</v>
      </c>
      <c r="AZ63" s="1">
        <v>10</v>
      </c>
      <c r="BA63" s="4">
        <v>422</v>
      </c>
      <c r="BB63" s="4">
        <v>56331</v>
      </c>
      <c r="BC63" s="4">
        <v>3579.9650000000038</v>
      </c>
      <c r="BD63" s="4">
        <v>36592.650000000009</v>
      </c>
      <c r="BE63" s="1">
        <v>2021</v>
      </c>
      <c r="BF63" s="2">
        <v>10</v>
      </c>
      <c r="BG63" s="5">
        <f t="shared" si="2"/>
        <v>39639</v>
      </c>
      <c r="BH63" s="5">
        <f t="shared" si="2"/>
        <v>1062507</v>
      </c>
      <c r="BI63" s="5">
        <f t="shared" si="2"/>
        <v>32187.125</v>
      </c>
      <c r="BJ63" s="5">
        <f t="shared" si="2"/>
        <v>389241.22000000003</v>
      </c>
      <c r="BK63" s="2">
        <v>2021</v>
      </c>
    </row>
    <row r="64" spans="3:63" outlineLevel="1" x14ac:dyDescent="0.35">
      <c r="C64" s="3">
        <v>44501</v>
      </c>
      <c r="D64" s="1">
        <v>11</v>
      </c>
      <c r="E64" s="4">
        <v>6683</v>
      </c>
      <c r="F64" s="4">
        <v>218943</v>
      </c>
      <c r="G64" s="4">
        <v>5149.885000000002</v>
      </c>
      <c r="H64" s="4">
        <v>55009.790000000008</v>
      </c>
      <c r="I64" s="1">
        <v>2021</v>
      </c>
      <c r="J64" s="2">
        <v>11</v>
      </c>
      <c r="K64" s="5">
        <v>5359</v>
      </c>
      <c r="L64" s="5">
        <v>146065</v>
      </c>
      <c r="M64" s="5">
        <v>4454.9649999999965</v>
      </c>
      <c r="N64" s="5">
        <v>58963.805000000022</v>
      </c>
      <c r="O64" s="2">
        <v>2021</v>
      </c>
      <c r="P64" s="1">
        <v>11</v>
      </c>
      <c r="Q64" s="4">
        <v>4730</v>
      </c>
      <c r="R64" s="4">
        <v>184756</v>
      </c>
      <c r="S64" s="4">
        <v>3185.2699999999968</v>
      </c>
      <c r="T64" s="4">
        <v>52914.989999999991</v>
      </c>
      <c r="U64" s="1">
        <v>2021</v>
      </c>
      <c r="V64" s="2">
        <v>11</v>
      </c>
      <c r="W64" s="5">
        <v>5058</v>
      </c>
      <c r="X64" s="5">
        <v>186142</v>
      </c>
      <c r="Y64" s="5">
        <v>7394.3300000000017</v>
      </c>
      <c r="Z64" s="5">
        <v>50529.209999999992</v>
      </c>
      <c r="AA64" s="2">
        <v>2021</v>
      </c>
      <c r="AB64" s="1">
        <v>11</v>
      </c>
      <c r="AC64" s="4">
        <v>892</v>
      </c>
      <c r="AD64" s="4">
        <v>65103</v>
      </c>
      <c r="AE64" s="4">
        <v>0</v>
      </c>
      <c r="AF64" s="4">
        <v>55994.805</v>
      </c>
      <c r="AG64" s="1">
        <v>2021</v>
      </c>
      <c r="AH64" s="2">
        <v>11</v>
      </c>
      <c r="AI64" s="5">
        <v>2144</v>
      </c>
      <c r="AJ64" s="5">
        <v>83599</v>
      </c>
      <c r="AK64" s="5">
        <v>0</v>
      </c>
      <c r="AL64" s="5">
        <v>64219.645000000004</v>
      </c>
      <c r="AM64" s="2">
        <v>2021</v>
      </c>
      <c r="AN64" s="1">
        <v>11</v>
      </c>
      <c r="AO64" s="4">
        <v>1889</v>
      </c>
      <c r="AP64" s="4">
        <v>83205</v>
      </c>
      <c r="AQ64" s="4">
        <v>193.3550000000032</v>
      </c>
      <c r="AR64" s="4">
        <v>35394.12999999999</v>
      </c>
      <c r="AS64" s="1">
        <v>2021</v>
      </c>
      <c r="AT64" s="2">
        <v>11</v>
      </c>
      <c r="AU64" s="5">
        <v>817</v>
      </c>
      <c r="AV64" s="5">
        <v>65935</v>
      </c>
      <c r="AW64" s="5">
        <v>0</v>
      </c>
      <c r="AX64" s="5">
        <v>0</v>
      </c>
      <c r="AY64" s="2">
        <v>2021</v>
      </c>
      <c r="AZ64" s="1">
        <v>11</v>
      </c>
      <c r="BA64" s="4">
        <v>8215</v>
      </c>
      <c r="BB64" s="4">
        <v>64546</v>
      </c>
      <c r="BC64" s="4">
        <v>1595.3150000000023</v>
      </c>
      <c r="BD64" s="4">
        <v>38187.965000000011</v>
      </c>
      <c r="BE64" s="1">
        <v>2021</v>
      </c>
      <c r="BF64" s="2">
        <v>11</v>
      </c>
      <c r="BG64" s="5">
        <f t="shared" si="2"/>
        <v>35787</v>
      </c>
      <c r="BH64" s="5">
        <f t="shared" si="2"/>
        <v>1098294</v>
      </c>
      <c r="BI64" s="5">
        <f t="shared" si="2"/>
        <v>21973.120000000003</v>
      </c>
      <c r="BJ64" s="5">
        <f t="shared" si="2"/>
        <v>411214.34000000008</v>
      </c>
      <c r="BK64" s="2">
        <v>2021</v>
      </c>
    </row>
    <row r="65" spans="3:63" outlineLevel="1" x14ac:dyDescent="0.35">
      <c r="C65" s="3">
        <v>44531</v>
      </c>
      <c r="D65" s="1">
        <v>12</v>
      </c>
      <c r="E65" s="4">
        <v>8690</v>
      </c>
      <c r="F65" s="4">
        <v>227633</v>
      </c>
      <c r="G65" s="4">
        <v>4684.760000000002</v>
      </c>
      <c r="H65" s="4">
        <v>59694.55000000001</v>
      </c>
      <c r="I65" s="1">
        <v>2021</v>
      </c>
      <c r="J65" s="2">
        <v>12</v>
      </c>
      <c r="K65" s="5">
        <v>7494</v>
      </c>
      <c r="L65" s="5">
        <v>153559</v>
      </c>
      <c r="M65" s="5">
        <v>4573.3849999999948</v>
      </c>
      <c r="N65" s="5">
        <v>63537.190000000017</v>
      </c>
      <c r="O65" s="2">
        <v>2021</v>
      </c>
      <c r="P65" s="1">
        <v>12</v>
      </c>
      <c r="Q65" s="4">
        <v>8623</v>
      </c>
      <c r="R65" s="4">
        <v>193379</v>
      </c>
      <c r="S65" s="4">
        <v>2300.1900000000023</v>
      </c>
      <c r="T65" s="4">
        <v>55215.179999999993</v>
      </c>
      <c r="U65" s="1">
        <v>2021</v>
      </c>
      <c r="V65" s="2">
        <v>12</v>
      </c>
      <c r="W65" s="5">
        <v>1648</v>
      </c>
      <c r="X65" s="5">
        <v>187790</v>
      </c>
      <c r="Y65" s="5">
        <v>2324.0500000000029</v>
      </c>
      <c r="Z65" s="5">
        <v>52853.259999999995</v>
      </c>
      <c r="AA65" s="2">
        <v>2021</v>
      </c>
      <c r="AB65" s="1">
        <v>12</v>
      </c>
      <c r="AC65" s="4">
        <v>1193</v>
      </c>
      <c r="AD65" s="4">
        <v>66296</v>
      </c>
      <c r="AE65" s="4">
        <v>0</v>
      </c>
      <c r="AF65" s="4">
        <v>55994.805</v>
      </c>
      <c r="AG65" s="1">
        <v>2021</v>
      </c>
      <c r="AH65" s="2">
        <v>12</v>
      </c>
      <c r="AI65" s="5">
        <v>10269</v>
      </c>
      <c r="AJ65" s="5">
        <v>93868</v>
      </c>
      <c r="AK65" s="5">
        <v>0</v>
      </c>
      <c r="AL65" s="5">
        <v>64219.645000000004</v>
      </c>
      <c r="AM65" s="2">
        <v>2021</v>
      </c>
      <c r="AN65" s="1">
        <v>12</v>
      </c>
      <c r="AO65" s="4">
        <v>5864</v>
      </c>
      <c r="AP65" s="4">
        <v>89069</v>
      </c>
      <c r="AQ65" s="4">
        <v>1720.4700000000012</v>
      </c>
      <c r="AR65" s="4">
        <v>37114.599999999991</v>
      </c>
      <c r="AS65" s="1">
        <v>2021</v>
      </c>
      <c r="AT65" s="2">
        <v>12</v>
      </c>
      <c r="AU65" s="5">
        <v>2306</v>
      </c>
      <c r="AV65" s="5">
        <v>68241</v>
      </c>
      <c r="AW65" s="5">
        <v>0</v>
      </c>
      <c r="AX65" s="5">
        <v>0</v>
      </c>
      <c r="AY65" s="2">
        <v>2021</v>
      </c>
      <c r="AZ65" s="1">
        <v>12</v>
      </c>
      <c r="BA65" s="4">
        <v>6289</v>
      </c>
      <c r="BB65" s="4">
        <v>70835</v>
      </c>
      <c r="BC65" s="4">
        <v>0</v>
      </c>
      <c r="BD65" s="4">
        <v>38187.965000000011</v>
      </c>
      <c r="BE65" s="1">
        <v>2021</v>
      </c>
      <c r="BF65" s="2">
        <v>12</v>
      </c>
      <c r="BG65" s="5">
        <f t="shared" si="2"/>
        <v>52376</v>
      </c>
      <c r="BH65" s="5">
        <f t="shared" si="2"/>
        <v>1150670</v>
      </c>
      <c r="BI65" s="5">
        <f t="shared" si="2"/>
        <v>15602.855000000003</v>
      </c>
      <c r="BJ65" s="5">
        <f t="shared" si="2"/>
        <v>426817.19500000001</v>
      </c>
      <c r="BK65" s="2">
        <v>2021</v>
      </c>
    </row>
    <row r="66" spans="3:63" outlineLevel="1" x14ac:dyDescent="0.35">
      <c r="C66" s="3">
        <v>44562</v>
      </c>
      <c r="D66" s="1">
        <v>1</v>
      </c>
      <c r="E66" s="4">
        <v>60864</v>
      </c>
      <c r="F66" s="4">
        <v>60864</v>
      </c>
      <c r="G66" s="4">
        <v>5150.4250000000029</v>
      </c>
      <c r="H66" s="4">
        <v>5150.4250000000029</v>
      </c>
      <c r="I66" s="1">
        <v>2022</v>
      </c>
      <c r="J66" s="2">
        <v>1</v>
      </c>
      <c r="K66" s="5">
        <v>35468</v>
      </c>
      <c r="L66" s="5">
        <v>35468</v>
      </c>
      <c r="M66" s="5">
        <v>3135.2824999999993</v>
      </c>
      <c r="N66" s="5">
        <v>3135.2824999999993</v>
      </c>
      <c r="O66" s="2">
        <v>2022</v>
      </c>
      <c r="P66" s="1">
        <v>1</v>
      </c>
      <c r="Q66" s="4">
        <v>31804</v>
      </c>
      <c r="R66" s="4">
        <v>31804</v>
      </c>
      <c r="S66" s="4">
        <v>2074.4474999999989</v>
      </c>
      <c r="T66" s="4">
        <v>2074.4474999999989</v>
      </c>
      <c r="U66" s="1">
        <v>2022</v>
      </c>
      <c r="V66" s="2">
        <v>1</v>
      </c>
      <c r="W66" s="5">
        <v>55202</v>
      </c>
      <c r="X66" s="5">
        <v>55202</v>
      </c>
      <c r="Y66" s="5">
        <v>3465.7265000000002</v>
      </c>
      <c r="Z66" s="5">
        <v>3465.7265000000002</v>
      </c>
      <c r="AA66" s="2">
        <v>2022</v>
      </c>
      <c r="AB66" s="1">
        <v>1</v>
      </c>
      <c r="AC66" s="4">
        <v>9924</v>
      </c>
      <c r="AD66" s="4">
        <v>9924</v>
      </c>
      <c r="AE66" s="4">
        <v>0</v>
      </c>
      <c r="AF66" s="4">
        <v>0</v>
      </c>
      <c r="AG66" s="1">
        <v>2022</v>
      </c>
      <c r="AH66" s="2">
        <v>1</v>
      </c>
      <c r="AI66" s="5">
        <v>11749</v>
      </c>
      <c r="AJ66" s="5">
        <v>11749</v>
      </c>
      <c r="AK66" s="5">
        <v>0</v>
      </c>
      <c r="AL66" s="5">
        <v>0</v>
      </c>
      <c r="AM66" s="2">
        <v>2022</v>
      </c>
      <c r="AN66" s="1">
        <v>1</v>
      </c>
      <c r="AO66" s="4">
        <v>9055</v>
      </c>
      <c r="AP66" s="4">
        <v>9055</v>
      </c>
      <c r="AQ66" s="4">
        <v>946.54850000000022</v>
      </c>
      <c r="AR66" s="4">
        <v>946.54850000000022</v>
      </c>
      <c r="AS66" s="1">
        <v>2022</v>
      </c>
      <c r="AT66" s="2">
        <v>1</v>
      </c>
      <c r="AU66" s="5">
        <v>7915</v>
      </c>
      <c r="AV66" s="5">
        <v>7915</v>
      </c>
      <c r="AW66" s="5">
        <v>0</v>
      </c>
      <c r="AX66" s="5">
        <v>0</v>
      </c>
      <c r="AY66" s="2">
        <v>2022</v>
      </c>
      <c r="AZ66" s="1">
        <v>1</v>
      </c>
      <c r="BA66" s="4">
        <v>8184</v>
      </c>
      <c r="BB66" s="4">
        <v>8184</v>
      </c>
      <c r="BC66" s="4">
        <v>0</v>
      </c>
      <c r="BD66" s="4">
        <v>0</v>
      </c>
      <c r="BE66" s="1">
        <v>2022</v>
      </c>
      <c r="BF66" s="2">
        <v>1</v>
      </c>
      <c r="BG66" s="5">
        <f t="shared" si="2"/>
        <v>230165</v>
      </c>
      <c r="BH66" s="5">
        <f t="shared" si="2"/>
        <v>230165</v>
      </c>
      <c r="BI66" s="5">
        <f t="shared" si="2"/>
        <v>14772.430000000002</v>
      </c>
      <c r="BJ66" s="5">
        <f t="shared" si="2"/>
        <v>14772.430000000002</v>
      </c>
      <c r="BK66" s="2">
        <v>2022</v>
      </c>
    </row>
    <row r="67" spans="3:63" outlineLevel="1" x14ac:dyDescent="0.35">
      <c r="C67" s="3">
        <v>44593</v>
      </c>
      <c r="D67" s="1">
        <v>2</v>
      </c>
      <c r="E67" s="4">
        <v>8261</v>
      </c>
      <c r="F67" s="4">
        <v>69125</v>
      </c>
      <c r="G67" s="4">
        <v>3906.2939999999976</v>
      </c>
      <c r="H67" s="4">
        <v>9056.719000000001</v>
      </c>
      <c r="I67" s="1">
        <v>2022</v>
      </c>
      <c r="J67" s="2">
        <v>2</v>
      </c>
      <c r="K67" s="5">
        <v>10391</v>
      </c>
      <c r="L67" s="5">
        <v>45859</v>
      </c>
      <c r="M67" s="5">
        <v>3558.9434999999999</v>
      </c>
      <c r="N67" s="5">
        <v>6694.2259999999987</v>
      </c>
      <c r="O67" s="2">
        <v>2022</v>
      </c>
      <c r="P67" s="1">
        <v>2</v>
      </c>
      <c r="Q67" s="4">
        <v>3437</v>
      </c>
      <c r="R67" s="4">
        <v>35241</v>
      </c>
      <c r="S67" s="4">
        <v>1074.1784999999998</v>
      </c>
      <c r="T67" s="4">
        <v>3148.6259999999984</v>
      </c>
      <c r="U67" s="1">
        <v>2022</v>
      </c>
      <c r="V67" s="2">
        <v>2</v>
      </c>
      <c r="W67" s="5">
        <v>13542</v>
      </c>
      <c r="X67" s="5">
        <v>68744</v>
      </c>
      <c r="Y67" s="5">
        <v>3833.3594999999996</v>
      </c>
      <c r="Z67" s="5">
        <v>7299.0859999999993</v>
      </c>
      <c r="AA67" s="2">
        <v>2022</v>
      </c>
      <c r="AB67" s="1">
        <v>2</v>
      </c>
      <c r="AC67" s="4">
        <v>1061</v>
      </c>
      <c r="AD67" s="4">
        <v>10985</v>
      </c>
      <c r="AE67" s="4">
        <v>0</v>
      </c>
      <c r="AF67" s="4">
        <v>0</v>
      </c>
      <c r="AG67" s="1">
        <v>2022</v>
      </c>
      <c r="AH67" s="2">
        <v>2</v>
      </c>
      <c r="AI67" s="5">
        <v>1965</v>
      </c>
      <c r="AJ67" s="5">
        <v>13714</v>
      </c>
      <c r="AK67" s="5">
        <v>0</v>
      </c>
      <c r="AL67" s="5">
        <v>0</v>
      </c>
      <c r="AM67" s="2">
        <v>2022</v>
      </c>
      <c r="AN67" s="1">
        <v>2</v>
      </c>
      <c r="AO67" s="4">
        <v>5950</v>
      </c>
      <c r="AP67" s="4">
        <v>15005</v>
      </c>
      <c r="AQ67" s="4">
        <v>823.06649999999968</v>
      </c>
      <c r="AR67" s="4">
        <v>1769.6149999999998</v>
      </c>
      <c r="AS67" s="1">
        <v>2022</v>
      </c>
      <c r="AT67" s="2">
        <v>2</v>
      </c>
      <c r="AU67" s="5">
        <v>2216</v>
      </c>
      <c r="AV67" s="5">
        <v>10131</v>
      </c>
      <c r="AW67" s="5">
        <v>0</v>
      </c>
      <c r="AX67" s="5">
        <v>0</v>
      </c>
      <c r="AY67" s="2">
        <v>2022</v>
      </c>
      <c r="AZ67" s="1">
        <v>2</v>
      </c>
      <c r="BA67" s="4">
        <v>3857</v>
      </c>
      <c r="BB67" s="4">
        <v>12041</v>
      </c>
      <c r="BC67" s="4">
        <v>0</v>
      </c>
      <c r="BD67" s="4">
        <v>0</v>
      </c>
      <c r="BE67" s="1">
        <v>2022</v>
      </c>
      <c r="BF67" s="2">
        <v>2</v>
      </c>
      <c r="BG67" s="5">
        <f t="shared" si="2"/>
        <v>50680</v>
      </c>
      <c r="BH67" s="5">
        <f t="shared" si="2"/>
        <v>280845</v>
      </c>
      <c r="BI67" s="5">
        <f t="shared" si="2"/>
        <v>13195.841999999995</v>
      </c>
      <c r="BJ67" s="5">
        <f t="shared" si="2"/>
        <v>27968.271999999997</v>
      </c>
      <c r="BK67" s="2">
        <v>2022</v>
      </c>
    </row>
    <row r="68" spans="3:63" outlineLevel="1" x14ac:dyDescent="0.35">
      <c r="C68" s="3">
        <v>44621</v>
      </c>
      <c r="D68" s="1">
        <v>3</v>
      </c>
      <c r="E68" s="4">
        <v>18734</v>
      </c>
      <c r="F68" s="4">
        <v>87859</v>
      </c>
      <c r="G68" s="4">
        <v>2575.9219999999996</v>
      </c>
      <c r="H68" s="4">
        <v>11632.641</v>
      </c>
      <c r="I68" s="1">
        <v>2022</v>
      </c>
      <c r="J68" s="2">
        <v>3</v>
      </c>
      <c r="K68" s="5">
        <v>11917</v>
      </c>
      <c r="L68" s="5">
        <v>57776</v>
      </c>
      <c r="M68" s="5">
        <v>0</v>
      </c>
      <c r="N68" s="5">
        <v>6694.2259999999987</v>
      </c>
      <c r="O68" s="2">
        <v>2022</v>
      </c>
      <c r="P68" s="1">
        <v>3</v>
      </c>
      <c r="Q68" s="4">
        <v>8311</v>
      </c>
      <c r="R68" s="4">
        <v>43552</v>
      </c>
      <c r="S68" s="4">
        <v>641.11950000000002</v>
      </c>
      <c r="T68" s="4">
        <v>3789.7454999999982</v>
      </c>
      <c r="U68" s="1">
        <v>2022</v>
      </c>
      <c r="V68" s="2">
        <v>3</v>
      </c>
      <c r="W68" s="5">
        <v>26878</v>
      </c>
      <c r="X68" s="5">
        <v>95622</v>
      </c>
      <c r="Y68" s="5">
        <v>558.83000000000004</v>
      </c>
      <c r="Z68" s="5">
        <v>7857.9159999999993</v>
      </c>
      <c r="AA68" s="2">
        <v>2022</v>
      </c>
      <c r="AB68" s="1">
        <v>3</v>
      </c>
      <c r="AC68" s="4">
        <v>1761</v>
      </c>
      <c r="AD68" s="4">
        <v>12746</v>
      </c>
      <c r="AE68" s="4">
        <v>0</v>
      </c>
      <c r="AF68" s="4">
        <v>0</v>
      </c>
      <c r="AG68" s="1">
        <v>2022</v>
      </c>
      <c r="AH68" s="2">
        <v>3</v>
      </c>
      <c r="AI68" s="5">
        <v>5919</v>
      </c>
      <c r="AJ68" s="5">
        <v>19633</v>
      </c>
      <c r="AK68" s="5">
        <v>0</v>
      </c>
      <c r="AL68" s="5">
        <v>0</v>
      </c>
      <c r="AM68" s="2">
        <v>2022</v>
      </c>
      <c r="AN68" s="1">
        <v>3</v>
      </c>
      <c r="AO68" s="4">
        <v>7336</v>
      </c>
      <c r="AP68" s="4">
        <v>22341</v>
      </c>
      <c r="AQ68" s="4">
        <v>4340.6240000000007</v>
      </c>
      <c r="AR68" s="4">
        <v>6110.2390000000005</v>
      </c>
      <c r="AS68" s="1">
        <v>2022</v>
      </c>
      <c r="AT68" s="2">
        <v>3</v>
      </c>
      <c r="AU68" s="5">
        <v>6848</v>
      </c>
      <c r="AV68" s="5">
        <v>16979</v>
      </c>
      <c r="AW68" s="5">
        <v>0</v>
      </c>
      <c r="AX68" s="5">
        <v>0</v>
      </c>
      <c r="AY68" s="2">
        <v>2022</v>
      </c>
      <c r="AZ68" s="1">
        <v>3</v>
      </c>
      <c r="BA68" s="4">
        <v>5526</v>
      </c>
      <c r="BB68" s="4">
        <v>17567</v>
      </c>
      <c r="BC68" s="4">
        <v>0</v>
      </c>
      <c r="BD68" s="4">
        <v>0</v>
      </c>
      <c r="BE68" s="1">
        <v>2022</v>
      </c>
      <c r="BF68" s="2">
        <v>3</v>
      </c>
      <c r="BG68" s="5">
        <f t="shared" si="2"/>
        <v>93230</v>
      </c>
      <c r="BH68" s="5">
        <f t="shared" si="2"/>
        <v>374075</v>
      </c>
      <c r="BI68" s="5">
        <f t="shared" si="2"/>
        <v>8116.4955</v>
      </c>
      <c r="BJ68" s="5">
        <f t="shared" si="2"/>
        <v>36084.767499999994</v>
      </c>
      <c r="BK68" s="2">
        <v>2022</v>
      </c>
    </row>
    <row r="69" spans="3:63" outlineLevel="1" x14ac:dyDescent="0.35">
      <c r="C69" s="3">
        <v>44652</v>
      </c>
      <c r="D69" s="1">
        <v>4</v>
      </c>
      <c r="E69" s="4">
        <v>16788</v>
      </c>
      <c r="F69" s="4">
        <v>104647</v>
      </c>
      <c r="G69" s="4">
        <v>3441.0930000000008</v>
      </c>
      <c r="H69" s="4">
        <v>15073.734</v>
      </c>
      <c r="I69" s="1">
        <v>2022</v>
      </c>
      <c r="J69" s="2">
        <v>4</v>
      </c>
      <c r="K69" s="5">
        <v>34650</v>
      </c>
      <c r="L69" s="5">
        <v>92426</v>
      </c>
      <c r="M69" s="5">
        <v>6466.1604999999954</v>
      </c>
      <c r="N69" s="5">
        <v>13160.386499999993</v>
      </c>
      <c r="O69" s="2">
        <v>2022</v>
      </c>
      <c r="P69" s="1">
        <v>4</v>
      </c>
      <c r="Q69" s="4">
        <v>11392</v>
      </c>
      <c r="R69" s="4">
        <v>54944</v>
      </c>
      <c r="S69" s="4">
        <v>1757.8515000000002</v>
      </c>
      <c r="T69" s="4">
        <v>5547.5969999999979</v>
      </c>
      <c r="U69" s="1">
        <v>2022</v>
      </c>
      <c r="V69" s="2">
        <v>4</v>
      </c>
      <c r="W69" s="5">
        <v>23222</v>
      </c>
      <c r="X69" s="5">
        <v>118844</v>
      </c>
      <c r="Y69" s="5">
        <v>1916.7219999999993</v>
      </c>
      <c r="Z69" s="5">
        <v>9774.637999999999</v>
      </c>
      <c r="AA69" s="2">
        <v>2022</v>
      </c>
      <c r="AB69" s="1">
        <v>4</v>
      </c>
      <c r="AC69" s="4">
        <v>4951</v>
      </c>
      <c r="AD69" s="4">
        <v>17697</v>
      </c>
      <c r="AE69" s="4">
        <v>0</v>
      </c>
      <c r="AF69" s="4">
        <v>0</v>
      </c>
      <c r="AG69" s="1">
        <v>2022</v>
      </c>
      <c r="AH69" s="2">
        <v>4</v>
      </c>
      <c r="AI69" s="5">
        <v>5779</v>
      </c>
      <c r="AJ69" s="5">
        <v>25412</v>
      </c>
      <c r="AK69" s="5">
        <v>0</v>
      </c>
      <c r="AL69" s="5">
        <v>0</v>
      </c>
      <c r="AM69" s="2">
        <v>2022</v>
      </c>
      <c r="AN69" s="1">
        <v>4</v>
      </c>
      <c r="AO69" s="4">
        <v>16339</v>
      </c>
      <c r="AP69" s="4">
        <v>38680</v>
      </c>
      <c r="AQ69" s="4">
        <v>6639.4905000000035</v>
      </c>
      <c r="AR69" s="4">
        <v>12749.729500000005</v>
      </c>
      <c r="AS69" s="1">
        <v>2022</v>
      </c>
      <c r="AT69" s="2">
        <v>4</v>
      </c>
      <c r="AU69" s="5">
        <v>8147</v>
      </c>
      <c r="AV69" s="5">
        <v>25126</v>
      </c>
      <c r="AW69" s="5">
        <v>0</v>
      </c>
      <c r="AX69" s="5">
        <v>0</v>
      </c>
      <c r="AY69" s="2">
        <v>2022</v>
      </c>
      <c r="AZ69" s="1">
        <v>4</v>
      </c>
      <c r="BA69" s="4">
        <v>8136</v>
      </c>
      <c r="BB69" s="4">
        <v>25703</v>
      </c>
      <c r="BC69" s="4">
        <v>0</v>
      </c>
      <c r="BD69" s="4">
        <v>0</v>
      </c>
      <c r="BE69" s="1">
        <v>2022</v>
      </c>
      <c r="BF69" s="2">
        <v>4</v>
      </c>
      <c r="BG69" s="5">
        <f t="shared" si="2"/>
        <v>129404</v>
      </c>
      <c r="BH69" s="5">
        <f t="shared" si="2"/>
        <v>503479</v>
      </c>
      <c r="BI69" s="5">
        <f t="shared" si="2"/>
        <v>20221.317499999997</v>
      </c>
      <c r="BJ69" s="5">
        <f t="shared" si="2"/>
        <v>56306.084999999992</v>
      </c>
      <c r="BK69" s="2">
        <v>2022</v>
      </c>
    </row>
    <row r="70" spans="3:63" outlineLevel="1" x14ac:dyDescent="0.35">
      <c r="C70" s="3">
        <v>44682</v>
      </c>
      <c r="D70" s="1">
        <v>5</v>
      </c>
      <c r="E70" s="4">
        <v>10557</v>
      </c>
      <c r="F70" s="4">
        <v>115204</v>
      </c>
      <c r="G70" s="4">
        <v>10484.427999999998</v>
      </c>
      <c r="H70" s="4">
        <v>25558.161999999997</v>
      </c>
      <c r="I70" s="1">
        <v>2022</v>
      </c>
      <c r="J70" s="2">
        <v>5</v>
      </c>
      <c r="K70" s="5">
        <v>32285</v>
      </c>
      <c r="L70" s="5">
        <v>124711</v>
      </c>
      <c r="M70" s="5">
        <v>14353.609999999982</v>
      </c>
      <c r="N70" s="5">
        <v>27513.996499999976</v>
      </c>
      <c r="O70" s="2">
        <v>2022</v>
      </c>
      <c r="P70" s="1">
        <v>5</v>
      </c>
      <c r="Q70" s="4">
        <v>7093</v>
      </c>
      <c r="R70" s="4">
        <v>62037</v>
      </c>
      <c r="S70" s="4">
        <v>1378.6899999999998</v>
      </c>
      <c r="T70" s="4">
        <v>6926.2869999999975</v>
      </c>
      <c r="U70" s="1">
        <v>2022</v>
      </c>
      <c r="V70" s="2">
        <v>5</v>
      </c>
      <c r="W70" s="5">
        <v>10905</v>
      </c>
      <c r="X70" s="5">
        <v>129749</v>
      </c>
      <c r="Y70" s="5">
        <v>13975.644499999973</v>
      </c>
      <c r="Z70" s="5">
        <v>23750.282499999972</v>
      </c>
      <c r="AA70" s="2">
        <v>2022</v>
      </c>
      <c r="AB70" s="1">
        <v>5</v>
      </c>
      <c r="AC70" s="4">
        <v>3362</v>
      </c>
      <c r="AD70" s="4">
        <v>21059</v>
      </c>
      <c r="AE70" s="4">
        <v>0</v>
      </c>
      <c r="AF70" s="4">
        <v>0</v>
      </c>
      <c r="AG70" s="1">
        <v>2022</v>
      </c>
      <c r="AH70" s="2">
        <v>5</v>
      </c>
      <c r="AI70" s="5">
        <v>3714</v>
      </c>
      <c r="AJ70" s="5">
        <v>29126</v>
      </c>
      <c r="AK70" s="5">
        <v>0</v>
      </c>
      <c r="AL70" s="5">
        <v>0</v>
      </c>
      <c r="AM70" s="2">
        <v>2022</v>
      </c>
      <c r="AN70" s="1">
        <v>5</v>
      </c>
      <c r="AO70" s="4">
        <v>15962</v>
      </c>
      <c r="AP70" s="4">
        <v>54642</v>
      </c>
      <c r="AQ70" s="4">
        <v>5664.9659999999985</v>
      </c>
      <c r="AR70" s="4">
        <v>18414.695500000002</v>
      </c>
      <c r="AS70" s="1">
        <v>2022</v>
      </c>
      <c r="AT70" s="2">
        <v>5</v>
      </c>
      <c r="AU70" s="5">
        <v>3212</v>
      </c>
      <c r="AV70" s="5">
        <v>28338</v>
      </c>
      <c r="AW70" s="5">
        <v>0</v>
      </c>
      <c r="AX70" s="5">
        <v>0</v>
      </c>
      <c r="AY70" s="2">
        <v>2022</v>
      </c>
      <c r="AZ70" s="1">
        <v>5</v>
      </c>
      <c r="BA70" s="4">
        <v>5621</v>
      </c>
      <c r="BB70" s="4">
        <v>31324</v>
      </c>
      <c r="BC70" s="4">
        <v>0</v>
      </c>
      <c r="BD70" s="4">
        <v>0</v>
      </c>
      <c r="BE70" s="1">
        <v>2022</v>
      </c>
      <c r="BF70" s="2">
        <v>5</v>
      </c>
      <c r="BG70" s="5">
        <f t="shared" si="2"/>
        <v>92711</v>
      </c>
      <c r="BH70" s="5">
        <f t="shared" si="2"/>
        <v>596190</v>
      </c>
      <c r="BI70" s="5">
        <f t="shared" si="2"/>
        <v>45857.338499999954</v>
      </c>
      <c r="BJ70" s="5">
        <f t="shared" si="2"/>
        <v>102163.42349999995</v>
      </c>
      <c r="BK70" s="2">
        <v>2022</v>
      </c>
    </row>
    <row r="71" spans="3:63" outlineLevel="1" x14ac:dyDescent="0.35">
      <c r="C71" s="3">
        <v>44713</v>
      </c>
      <c r="D71" s="1">
        <v>6</v>
      </c>
      <c r="E71" s="4">
        <v>15329</v>
      </c>
      <c r="F71" s="4">
        <v>130533</v>
      </c>
      <c r="G71" s="4">
        <v>3834.2559999999994</v>
      </c>
      <c r="H71" s="4">
        <v>29392.417999999998</v>
      </c>
      <c r="I71" s="1">
        <v>2022</v>
      </c>
      <c r="J71" s="2">
        <v>6</v>
      </c>
      <c r="K71" s="5">
        <v>16437</v>
      </c>
      <c r="L71" s="5">
        <v>141148</v>
      </c>
      <c r="M71" s="5">
        <v>7873.0790000000025</v>
      </c>
      <c r="N71" s="5">
        <v>35387.075499999977</v>
      </c>
      <c r="O71" s="2">
        <v>2022</v>
      </c>
      <c r="P71" s="1">
        <v>6</v>
      </c>
      <c r="Q71" s="4">
        <v>5929</v>
      </c>
      <c r="R71" s="4">
        <v>67966</v>
      </c>
      <c r="S71" s="4">
        <v>660.90949999999998</v>
      </c>
      <c r="T71" s="4">
        <v>7587.1964999999973</v>
      </c>
      <c r="U71" s="1">
        <v>2022</v>
      </c>
      <c r="V71" s="2">
        <v>6</v>
      </c>
      <c r="W71" s="5">
        <v>14639</v>
      </c>
      <c r="X71" s="5">
        <v>144388</v>
      </c>
      <c r="Y71" s="5">
        <v>3223.8844999999988</v>
      </c>
      <c r="Z71" s="5">
        <v>26974.166999999972</v>
      </c>
      <c r="AA71" s="2">
        <v>2022</v>
      </c>
      <c r="AB71" s="1">
        <v>6</v>
      </c>
      <c r="AC71" s="4">
        <v>4362</v>
      </c>
      <c r="AD71" s="4">
        <v>25421</v>
      </c>
      <c r="AE71" s="4">
        <v>0</v>
      </c>
      <c r="AF71" s="4">
        <v>0</v>
      </c>
      <c r="AG71" s="1">
        <v>2022</v>
      </c>
      <c r="AH71" s="2">
        <v>6</v>
      </c>
      <c r="AI71" s="5">
        <v>5709</v>
      </c>
      <c r="AJ71" s="5">
        <v>34835</v>
      </c>
      <c r="AK71" s="5">
        <v>0</v>
      </c>
      <c r="AL71" s="5">
        <v>0</v>
      </c>
      <c r="AM71" s="2">
        <v>2022</v>
      </c>
      <c r="AN71" s="1">
        <v>6</v>
      </c>
      <c r="AO71" s="4">
        <v>9210</v>
      </c>
      <c r="AP71" s="4">
        <v>63852</v>
      </c>
      <c r="AQ71" s="4">
        <v>6228.0555000000004</v>
      </c>
      <c r="AR71" s="4">
        <v>24642.751000000004</v>
      </c>
      <c r="AS71" s="1">
        <v>2022</v>
      </c>
      <c r="AT71" s="2">
        <v>6</v>
      </c>
      <c r="AU71" s="5">
        <v>1606</v>
      </c>
      <c r="AV71" s="5">
        <v>29944</v>
      </c>
      <c r="AW71" s="5">
        <v>0</v>
      </c>
      <c r="AX71" s="5">
        <v>0</v>
      </c>
      <c r="AY71" s="2">
        <v>2022</v>
      </c>
      <c r="AZ71" s="1">
        <v>6</v>
      </c>
      <c r="BA71" s="4">
        <v>1627</v>
      </c>
      <c r="BB71" s="4">
        <v>32951</v>
      </c>
      <c r="BC71" s="4">
        <v>0</v>
      </c>
      <c r="BD71" s="4">
        <v>0</v>
      </c>
      <c r="BE71" s="1">
        <v>2022</v>
      </c>
      <c r="BF71" s="2">
        <v>6</v>
      </c>
      <c r="BG71" s="5">
        <f t="shared" si="2"/>
        <v>74848</v>
      </c>
      <c r="BH71" s="5">
        <f t="shared" si="2"/>
        <v>671038</v>
      </c>
      <c r="BI71" s="5">
        <f t="shared" si="2"/>
        <v>21820.184500000003</v>
      </c>
      <c r="BJ71" s="5">
        <f t="shared" si="2"/>
        <v>123983.60799999995</v>
      </c>
      <c r="BK71" s="2">
        <v>2022</v>
      </c>
    </row>
    <row r="72" spans="3:63" outlineLevel="1" x14ac:dyDescent="0.35">
      <c r="C72" s="3">
        <v>44743</v>
      </c>
      <c r="D72" s="1">
        <v>7</v>
      </c>
      <c r="E72" s="4">
        <v>11576</v>
      </c>
      <c r="F72" s="4">
        <v>142109</v>
      </c>
      <c r="G72" s="4">
        <v>7981.5054999999957</v>
      </c>
      <c r="H72" s="4">
        <v>37373.92349999999</v>
      </c>
      <c r="I72" s="1">
        <v>2022</v>
      </c>
      <c r="J72" s="2">
        <v>7</v>
      </c>
      <c r="K72" s="5">
        <v>8892</v>
      </c>
      <c r="L72" s="5">
        <v>150040</v>
      </c>
      <c r="M72" s="5">
        <v>7311.2230000000009</v>
      </c>
      <c r="N72" s="5">
        <v>42698.298499999975</v>
      </c>
      <c r="O72" s="2">
        <v>2022</v>
      </c>
      <c r="P72" s="1">
        <v>7</v>
      </c>
      <c r="Q72" s="4">
        <v>6590</v>
      </c>
      <c r="R72" s="4">
        <v>74556</v>
      </c>
      <c r="S72" s="4">
        <v>3130.8824999999997</v>
      </c>
      <c r="T72" s="4">
        <v>10718.078999999998</v>
      </c>
      <c r="U72" s="1">
        <v>2022</v>
      </c>
      <c r="V72" s="2">
        <v>7</v>
      </c>
      <c r="W72" s="5">
        <v>9859</v>
      </c>
      <c r="X72" s="5">
        <v>154247</v>
      </c>
      <c r="Y72" s="5">
        <v>8922.4129999999968</v>
      </c>
      <c r="Z72" s="5">
        <v>35896.579999999973</v>
      </c>
      <c r="AA72" s="2">
        <v>2022</v>
      </c>
      <c r="AB72" s="1">
        <v>7</v>
      </c>
      <c r="AC72" s="4">
        <v>1487</v>
      </c>
      <c r="AD72" s="4">
        <v>26908</v>
      </c>
      <c r="AE72" s="4">
        <v>0</v>
      </c>
      <c r="AF72" s="4">
        <v>0</v>
      </c>
      <c r="AG72" s="1">
        <v>2022</v>
      </c>
      <c r="AH72" s="2">
        <v>7</v>
      </c>
      <c r="AI72" s="5">
        <v>3024</v>
      </c>
      <c r="AJ72" s="5">
        <v>37859</v>
      </c>
      <c r="AK72" s="5">
        <v>0</v>
      </c>
      <c r="AL72" s="5">
        <v>0</v>
      </c>
      <c r="AM72" s="2">
        <v>2022</v>
      </c>
      <c r="AN72" s="1">
        <v>7</v>
      </c>
      <c r="AO72" s="4">
        <v>5582</v>
      </c>
      <c r="AP72" s="4">
        <v>69434</v>
      </c>
      <c r="AQ72" s="4">
        <v>5357.3410000000022</v>
      </c>
      <c r="AR72" s="4">
        <v>30000.092000000004</v>
      </c>
      <c r="AS72" s="1">
        <v>2022</v>
      </c>
      <c r="AT72" s="2">
        <v>7</v>
      </c>
      <c r="AU72" s="5">
        <v>72</v>
      </c>
      <c r="AV72" s="5">
        <v>30016</v>
      </c>
      <c r="AW72" s="5">
        <v>0</v>
      </c>
      <c r="AX72" s="5">
        <v>0</v>
      </c>
      <c r="AY72" s="2">
        <v>2022</v>
      </c>
      <c r="AZ72" s="1">
        <v>7</v>
      </c>
      <c r="BA72" s="4">
        <v>669</v>
      </c>
      <c r="BB72" s="4">
        <v>33620</v>
      </c>
      <c r="BC72" s="4">
        <v>0</v>
      </c>
      <c r="BD72" s="4">
        <v>0</v>
      </c>
      <c r="BE72" s="1">
        <v>2022</v>
      </c>
      <c r="BF72" s="2">
        <v>7</v>
      </c>
      <c r="BG72" s="5">
        <f t="shared" si="2"/>
        <v>47751</v>
      </c>
      <c r="BH72" s="5">
        <f t="shared" si="2"/>
        <v>718789</v>
      </c>
      <c r="BI72" s="5">
        <f t="shared" si="2"/>
        <v>32703.364999999998</v>
      </c>
      <c r="BJ72" s="5">
        <f t="shared" si="2"/>
        <v>156686.97299999994</v>
      </c>
      <c r="BK72" s="2">
        <v>2022</v>
      </c>
    </row>
    <row r="73" spans="3:63" outlineLevel="1" x14ac:dyDescent="0.35">
      <c r="C73" s="3">
        <v>44774</v>
      </c>
      <c r="D73" s="1">
        <v>8</v>
      </c>
      <c r="E73" s="4">
        <v>13493</v>
      </c>
      <c r="F73" s="4">
        <v>155602</v>
      </c>
      <c r="G73" s="4">
        <v>6604.3850000000066</v>
      </c>
      <c r="H73" s="4">
        <v>43978.308499999999</v>
      </c>
      <c r="I73" s="1">
        <v>2022</v>
      </c>
      <c r="J73" s="2">
        <v>8</v>
      </c>
      <c r="K73" s="5">
        <v>13318</v>
      </c>
      <c r="L73" s="5">
        <v>163358</v>
      </c>
      <c r="M73" s="5">
        <v>4727.0034999999998</v>
      </c>
      <c r="N73" s="5">
        <v>47425.301999999974</v>
      </c>
      <c r="O73" s="2">
        <v>2022</v>
      </c>
      <c r="P73" s="1">
        <v>8</v>
      </c>
      <c r="Q73" s="4">
        <v>6872</v>
      </c>
      <c r="R73" s="4">
        <v>81428</v>
      </c>
      <c r="S73" s="4">
        <v>3687.8579999999988</v>
      </c>
      <c r="T73" s="4">
        <v>14405.936999999996</v>
      </c>
      <c r="U73" s="1">
        <v>2022</v>
      </c>
      <c r="V73" s="2">
        <v>8</v>
      </c>
      <c r="W73" s="5">
        <v>5159</v>
      </c>
      <c r="X73" s="5">
        <v>159406</v>
      </c>
      <c r="Y73" s="5">
        <v>4645.3855000000012</v>
      </c>
      <c r="Z73" s="5">
        <v>40541.965499999977</v>
      </c>
      <c r="AA73" s="2">
        <v>2022</v>
      </c>
      <c r="AB73" s="1">
        <v>8</v>
      </c>
      <c r="AC73" s="4">
        <v>3370</v>
      </c>
      <c r="AD73" s="4">
        <v>30278</v>
      </c>
      <c r="AE73" s="4">
        <v>0</v>
      </c>
      <c r="AF73" s="4">
        <v>0</v>
      </c>
      <c r="AG73" s="1">
        <v>2022</v>
      </c>
      <c r="AH73" s="2">
        <v>8</v>
      </c>
      <c r="AI73" s="5">
        <v>2732</v>
      </c>
      <c r="AJ73" s="5">
        <v>40591</v>
      </c>
      <c r="AK73" s="5">
        <v>0</v>
      </c>
      <c r="AL73" s="5">
        <v>0</v>
      </c>
      <c r="AM73" s="2">
        <v>2022</v>
      </c>
      <c r="AN73" s="1">
        <v>8</v>
      </c>
      <c r="AO73" s="4">
        <v>5788</v>
      </c>
      <c r="AP73" s="4">
        <v>75222</v>
      </c>
      <c r="AQ73" s="4">
        <v>3080.1409999999996</v>
      </c>
      <c r="AR73" s="4">
        <v>33080.233000000007</v>
      </c>
      <c r="AS73" s="1">
        <v>2022</v>
      </c>
      <c r="AT73" s="2">
        <v>8</v>
      </c>
      <c r="AU73" s="5">
        <v>3702</v>
      </c>
      <c r="AV73" s="5">
        <v>33718</v>
      </c>
      <c r="AW73" s="5">
        <v>0</v>
      </c>
      <c r="AX73" s="5">
        <v>0</v>
      </c>
      <c r="AY73" s="2">
        <v>2022</v>
      </c>
      <c r="AZ73" s="1">
        <v>8</v>
      </c>
      <c r="BA73" s="4">
        <v>1107</v>
      </c>
      <c r="BB73" s="4">
        <v>34727</v>
      </c>
      <c r="BC73" s="4">
        <v>0</v>
      </c>
      <c r="BD73" s="4">
        <v>0</v>
      </c>
      <c r="BE73" s="1">
        <v>2022</v>
      </c>
      <c r="BF73" s="2">
        <v>8</v>
      </c>
      <c r="BG73" s="5">
        <f t="shared" si="2"/>
        <v>55541</v>
      </c>
      <c r="BH73" s="5">
        <f t="shared" si="2"/>
        <v>774330</v>
      </c>
      <c r="BI73" s="5">
        <f t="shared" si="2"/>
        <v>22744.773000000005</v>
      </c>
      <c r="BJ73" s="5">
        <f t="shared" si="2"/>
        <v>179431.74599999996</v>
      </c>
      <c r="BK73" s="2">
        <v>2022</v>
      </c>
    </row>
    <row r="74" spans="3:63" outlineLevel="1" x14ac:dyDescent="0.35">
      <c r="C74" s="3">
        <v>44805</v>
      </c>
      <c r="D74" s="1">
        <v>9</v>
      </c>
      <c r="E74" s="4">
        <v>21937</v>
      </c>
      <c r="F74" s="4">
        <v>177539</v>
      </c>
      <c r="G74" s="4">
        <v>4783.028500000004</v>
      </c>
      <c r="H74" s="4">
        <v>48761.337</v>
      </c>
      <c r="I74" s="1">
        <v>2022</v>
      </c>
      <c r="J74" s="2">
        <v>9</v>
      </c>
      <c r="K74" s="5">
        <v>11179</v>
      </c>
      <c r="L74" s="5">
        <v>174537</v>
      </c>
      <c r="M74" s="5">
        <v>7596.4645</v>
      </c>
      <c r="N74" s="5">
        <v>55021.766499999976</v>
      </c>
      <c r="O74" s="2">
        <v>2022</v>
      </c>
      <c r="P74" s="1">
        <v>9</v>
      </c>
      <c r="Q74" s="4">
        <v>12043</v>
      </c>
      <c r="R74" s="4">
        <v>93471</v>
      </c>
      <c r="S74" s="4">
        <v>1410.2389999999991</v>
      </c>
      <c r="T74" s="4">
        <v>15816.175999999996</v>
      </c>
      <c r="U74" s="1">
        <v>2022</v>
      </c>
      <c r="V74" s="2">
        <v>9</v>
      </c>
      <c r="W74" s="5">
        <v>11877</v>
      </c>
      <c r="X74" s="5">
        <v>171283</v>
      </c>
      <c r="Y74" s="5">
        <v>4836.2194999999974</v>
      </c>
      <c r="Z74" s="5">
        <v>45378.184999999976</v>
      </c>
      <c r="AA74" s="2">
        <v>2022</v>
      </c>
      <c r="AB74" s="1">
        <v>9</v>
      </c>
      <c r="AC74" s="4">
        <v>6168</v>
      </c>
      <c r="AD74" s="4">
        <v>36446</v>
      </c>
      <c r="AE74" s="4">
        <v>0</v>
      </c>
      <c r="AF74" s="4">
        <v>0</v>
      </c>
      <c r="AG74" s="1">
        <v>2022</v>
      </c>
      <c r="AH74" s="2">
        <v>9</v>
      </c>
      <c r="AI74" s="5">
        <v>4212</v>
      </c>
      <c r="AJ74" s="5">
        <v>44803</v>
      </c>
      <c r="AK74" s="5">
        <v>0</v>
      </c>
      <c r="AL74" s="5">
        <v>0</v>
      </c>
      <c r="AM74" s="2">
        <v>2022</v>
      </c>
      <c r="AN74" s="1">
        <v>9</v>
      </c>
      <c r="AO74" s="4">
        <v>4304</v>
      </c>
      <c r="AP74" s="4">
        <v>79526</v>
      </c>
      <c r="AQ74" s="4">
        <v>853.97100000000012</v>
      </c>
      <c r="AR74" s="4">
        <v>33934.204000000005</v>
      </c>
      <c r="AS74" s="1">
        <v>2022</v>
      </c>
      <c r="AT74" s="2">
        <v>9</v>
      </c>
      <c r="AU74" s="5">
        <v>1125</v>
      </c>
      <c r="AV74" s="5">
        <v>34843</v>
      </c>
      <c r="AW74" s="5">
        <v>0</v>
      </c>
      <c r="AX74" s="5">
        <v>0</v>
      </c>
      <c r="AY74" s="2">
        <v>2022</v>
      </c>
      <c r="AZ74" s="1">
        <v>9</v>
      </c>
      <c r="BA74" s="4">
        <v>596</v>
      </c>
      <c r="BB74" s="4">
        <v>35323</v>
      </c>
      <c r="BC74" s="4">
        <v>0</v>
      </c>
      <c r="BD74" s="4">
        <v>0</v>
      </c>
      <c r="BE74" s="1">
        <v>2022</v>
      </c>
      <c r="BF74" s="2">
        <v>9</v>
      </c>
      <c r="BG74" s="5">
        <f t="shared" si="2"/>
        <v>73441</v>
      </c>
      <c r="BH74" s="5">
        <f t="shared" si="2"/>
        <v>847771</v>
      </c>
      <c r="BI74" s="5">
        <f t="shared" si="2"/>
        <v>19479.922500000004</v>
      </c>
      <c r="BJ74" s="5">
        <f t="shared" si="2"/>
        <v>198911.66849999994</v>
      </c>
      <c r="BK74" s="2">
        <v>2022</v>
      </c>
    </row>
    <row r="75" spans="3:63" outlineLevel="1" x14ac:dyDescent="0.35">
      <c r="C75" s="3">
        <v>44835</v>
      </c>
      <c r="D75" s="1">
        <v>10</v>
      </c>
      <c r="E75" s="4">
        <v>5669</v>
      </c>
      <c r="F75" s="4">
        <v>183208</v>
      </c>
      <c r="G75" s="4">
        <v>3462.4975000000004</v>
      </c>
      <c r="H75" s="4">
        <v>52223.834499999997</v>
      </c>
      <c r="I75" s="1">
        <v>2022</v>
      </c>
      <c r="J75" s="2">
        <v>10</v>
      </c>
      <c r="K75" s="5">
        <v>4029</v>
      </c>
      <c r="L75" s="5">
        <v>178566</v>
      </c>
      <c r="M75" s="5">
        <v>6777.6589999999978</v>
      </c>
      <c r="N75" s="5">
        <v>61799.425499999976</v>
      </c>
      <c r="O75" s="2">
        <v>2022</v>
      </c>
      <c r="P75" s="1">
        <v>10</v>
      </c>
      <c r="Q75" s="4">
        <v>2976</v>
      </c>
      <c r="R75" s="4">
        <v>96447</v>
      </c>
      <c r="S75" s="4">
        <v>3363.6005000000005</v>
      </c>
      <c r="T75" s="4">
        <v>19179.776499999996</v>
      </c>
      <c r="U75" s="1">
        <v>2022</v>
      </c>
      <c r="V75" s="2">
        <v>10</v>
      </c>
      <c r="W75" s="5">
        <v>4902</v>
      </c>
      <c r="X75" s="5">
        <v>176185</v>
      </c>
      <c r="Y75" s="5">
        <v>9476.6215000000029</v>
      </c>
      <c r="Z75" s="5">
        <v>54854.806499999977</v>
      </c>
      <c r="AA75" s="2">
        <v>2022</v>
      </c>
      <c r="AB75" s="1">
        <v>10</v>
      </c>
      <c r="AC75" s="4">
        <v>961</v>
      </c>
      <c r="AD75" s="4">
        <v>37407</v>
      </c>
      <c r="AE75" s="4">
        <v>0</v>
      </c>
      <c r="AF75" s="4">
        <v>0</v>
      </c>
      <c r="AG75" s="1">
        <v>2022</v>
      </c>
      <c r="AH75" s="2">
        <v>10</v>
      </c>
      <c r="AI75" s="5">
        <v>928</v>
      </c>
      <c r="AJ75" s="5">
        <v>45731</v>
      </c>
      <c r="AK75" s="5">
        <v>0</v>
      </c>
      <c r="AL75" s="5">
        <v>0</v>
      </c>
      <c r="AM75" s="2">
        <v>2022</v>
      </c>
      <c r="AN75" s="1">
        <v>10</v>
      </c>
      <c r="AO75" s="4">
        <v>0</v>
      </c>
      <c r="AP75" s="4">
        <v>79526</v>
      </c>
      <c r="AQ75" s="4">
        <v>471.46000000000004</v>
      </c>
      <c r="AR75" s="4">
        <v>34405.664000000004</v>
      </c>
      <c r="AS75" s="1">
        <v>2022</v>
      </c>
      <c r="AT75" s="2">
        <v>10</v>
      </c>
      <c r="AU75" s="5">
        <v>0</v>
      </c>
      <c r="AV75" s="5">
        <v>34843</v>
      </c>
      <c r="AW75" s="5">
        <v>0</v>
      </c>
      <c r="AX75" s="5">
        <v>0</v>
      </c>
      <c r="AY75" s="2">
        <v>2022</v>
      </c>
      <c r="AZ75" s="1">
        <v>10</v>
      </c>
      <c r="BA75" s="4">
        <v>150</v>
      </c>
      <c r="BB75" s="4">
        <v>35473</v>
      </c>
      <c r="BC75" s="4">
        <v>0</v>
      </c>
      <c r="BD75" s="4">
        <v>0</v>
      </c>
      <c r="BE75" s="1">
        <v>2022</v>
      </c>
      <c r="BF75" s="2">
        <v>10</v>
      </c>
      <c r="BG75" s="5">
        <f t="shared" si="2"/>
        <v>19615</v>
      </c>
      <c r="BH75" s="5">
        <f t="shared" si="2"/>
        <v>867386</v>
      </c>
      <c r="BI75" s="5">
        <f t="shared" si="2"/>
        <v>23551.838499999998</v>
      </c>
      <c r="BJ75" s="5">
        <f t="shared" si="2"/>
        <v>222463.50699999998</v>
      </c>
      <c r="BK75" s="2">
        <v>2022</v>
      </c>
    </row>
    <row r="76" spans="3:63" outlineLevel="1" x14ac:dyDescent="0.35">
      <c r="C76" s="3">
        <v>44866</v>
      </c>
      <c r="D76" s="1">
        <v>11</v>
      </c>
      <c r="E76" s="4">
        <v>3063</v>
      </c>
      <c r="F76" s="4">
        <v>186271</v>
      </c>
      <c r="G76" s="4">
        <v>4586.8860000000013</v>
      </c>
      <c r="H76" s="4">
        <v>56810.720499999996</v>
      </c>
      <c r="I76" s="1">
        <v>2022</v>
      </c>
      <c r="J76" s="2">
        <v>11</v>
      </c>
      <c r="K76" s="5">
        <v>8224</v>
      </c>
      <c r="L76" s="5">
        <v>186790</v>
      </c>
      <c r="M76" s="5">
        <v>9754.0999999999985</v>
      </c>
      <c r="N76" s="5">
        <v>71553.525499999974</v>
      </c>
      <c r="O76" s="2">
        <v>2022</v>
      </c>
      <c r="P76" s="1">
        <v>11</v>
      </c>
      <c r="Q76" s="4">
        <v>4895</v>
      </c>
      <c r="R76" s="4">
        <v>101342</v>
      </c>
      <c r="S76" s="4">
        <v>3013.6705000000002</v>
      </c>
      <c r="T76" s="4">
        <v>22193.446999999996</v>
      </c>
      <c r="U76" s="1">
        <v>2022</v>
      </c>
      <c r="V76" s="2">
        <v>11</v>
      </c>
      <c r="W76" s="5">
        <v>2737</v>
      </c>
      <c r="X76" s="5">
        <v>178922</v>
      </c>
      <c r="Y76" s="5">
        <v>7050.8315000000002</v>
      </c>
      <c r="Z76" s="5">
        <v>61905.637999999977</v>
      </c>
      <c r="AA76" s="2">
        <v>2022</v>
      </c>
      <c r="AB76" s="1">
        <v>11</v>
      </c>
      <c r="AC76" s="4">
        <v>1492</v>
      </c>
      <c r="AD76" s="4">
        <v>38899</v>
      </c>
      <c r="AE76" s="4">
        <v>0</v>
      </c>
      <c r="AF76" s="4">
        <v>0</v>
      </c>
      <c r="AG76" s="1">
        <v>2022</v>
      </c>
      <c r="AH76" s="2">
        <v>11</v>
      </c>
      <c r="AI76" s="5">
        <v>109</v>
      </c>
      <c r="AJ76" s="5">
        <v>45840</v>
      </c>
      <c r="AK76" s="5">
        <v>0</v>
      </c>
      <c r="AL76" s="5">
        <v>0</v>
      </c>
      <c r="AM76" s="2">
        <v>2022</v>
      </c>
      <c r="AN76" s="1">
        <v>11</v>
      </c>
      <c r="AO76" s="4">
        <v>1837</v>
      </c>
      <c r="AP76" s="4">
        <v>81363</v>
      </c>
      <c r="AQ76" s="4">
        <v>184.4085</v>
      </c>
      <c r="AR76" s="4">
        <v>34590.072500000002</v>
      </c>
      <c r="AS76" s="1">
        <v>2022</v>
      </c>
      <c r="AT76" s="2">
        <v>11</v>
      </c>
      <c r="AU76" s="5">
        <v>914</v>
      </c>
      <c r="AV76" s="5">
        <v>35757</v>
      </c>
      <c r="AW76" s="5">
        <v>0</v>
      </c>
      <c r="AX76" s="5">
        <v>0</v>
      </c>
      <c r="AY76" s="2">
        <v>2022</v>
      </c>
      <c r="AZ76" s="1">
        <v>11</v>
      </c>
      <c r="BA76" s="4">
        <v>7132</v>
      </c>
      <c r="BB76" s="4">
        <v>42605</v>
      </c>
      <c r="BC76" s="4">
        <v>0</v>
      </c>
      <c r="BD76" s="4">
        <v>0</v>
      </c>
      <c r="BE76" s="1">
        <v>2022</v>
      </c>
      <c r="BF76" s="2">
        <v>11</v>
      </c>
      <c r="BG76" s="5">
        <f t="shared" si="2"/>
        <v>30403</v>
      </c>
      <c r="BH76" s="5">
        <f t="shared" si="2"/>
        <v>897789</v>
      </c>
      <c r="BI76" s="5">
        <f t="shared" si="2"/>
        <v>24589.896500000003</v>
      </c>
      <c r="BJ76" s="5">
        <f t="shared" si="2"/>
        <v>247053.40349999996</v>
      </c>
      <c r="BK76" s="2">
        <v>2022</v>
      </c>
    </row>
    <row r="77" spans="3:63" outlineLevel="1" x14ac:dyDescent="0.35">
      <c r="C77" s="3">
        <v>44896</v>
      </c>
      <c r="D77" s="1">
        <v>12</v>
      </c>
      <c r="E77" s="4">
        <v>5299</v>
      </c>
      <c r="F77" s="4">
        <v>191570</v>
      </c>
      <c r="G77" s="4">
        <v>2496.1150000000002</v>
      </c>
      <c r="H77" s="4">
        <v>59306.835499999994</v>
      </c>
      <c r="I77" s="1">
        <v>2022</v>
      </c>
      <c r="J77" s="2">
        <v>12</v>
      </c>
      <c r="K77" s="5">
        <v>6568</v>
      </c>
      <c r="L77" s="5">
        <v>193358</v>
      </c>
      <c r="M77" s="5">
        <v>5590.366500000001</v>
      </c>
      <c r="N77" s="5">
        <v>77143.891999999978</v>
      </c>
      <c r="O77" s="2">
        <v>2022</v>
      </c>
      <c r="P77" s="1">
        <v>12</v>
      </c>
      <c r="Q77" s="4">
        <v>3341</v>
      </c>
      <c r="R77" s="4">
        <v>104683</v>
      </c>
      <c r="S77" s="4">
        <v>1611.0985000000005</v>
      </c>
      <c r="T77" s="4">
        <v>23804.545499999997</v>
      </c>
      <c r="U77" s="1">
        <v>2022</v>
      </c>
      <c r="V77" s="2">
        <v>12</v>
      </c>
      <c r="W77" s="5">
        <v>597</v>
      </c>
      <c r="X77" s="5">
        <v>179519</v>
      </c>
      <c r="Y77" s="5">
        <v>2805.4729999999995</v>
      </c>
      <c r="Z77" s="5">
        <v>64711.110999999975</v>
      </c>
      <c r="AA77" s="2">
        <v>2022</v>
      </c>
      <c r="AB77" s="1">
        <v>12</v>
      </c>
      <c r="AC77" s="4">
        <v>3445</v>
      </c>
      <c r="AD77" s="4">
        <v>42344</v>
      </c>
      <c r="AE77" s="4">
        <v>0</v>
      </c>
      <c r="AF77" s="4">
        <v>0</v>
      </c>
      <c r="AG77" s="1">
        <v>2022</v>
      </c>
      <c r="AH77" s="2">
        <v>12</v>
      </c>
      <c r="AI77" s="5">
        <v>5769</v>
      </c>
      <c r="AJ77" s="5">
        <v>51609</v>
      </c>
      <c r="AK77" s="5">
        <v>0</v>
      </c>
      <c r="AL77" s="5">
        <v>0</v>
      </c>
      <c r="AM77" s="2">
        <v>2022</v>
      </c>
      <c r="AN77" s="1">
        <v>12</v>
      </c>
      <c r="AO77" s="4">
        <v>2099</v>
      </c>
      <c r="AP77" s="4">
        <v>83462</v>
      </c>
      <c r="AQ77" s="4">
        <v>5343.1329999999998</v>
      </c>
      <c r="AR77" s="4">
        <v>39933.205500000004</v>
      </c>
      <c r="AS77" s="1">
        <v>2022</v>
      </c>
      <c r="AT77" s="2">
        <v>12</v>
      </c>
      <c r="AU77" s="5">
        <v>1236</v>
      </c>
      <c r="AV77" s="5">
        <v>36993</v>
      </c>
      <c r="AW77" s="5">
        <v>0</v>
      </c>
      <c r="AX77" s="5">
        <v>0</v>
      </c>
      <c r="AY77" s="2">
        <v>2022</v>
      </c>
      <c r="AZ77" s="1">
        <v>12</v>
      </c>
      <c r="BA77" s="4">
        <v>2121</v>
      </c>
      <c r="BB77" s="4">
        <v>44726</v>
      </c>
      <c r="BC77" s="4">
        <v>0</v>
      </c>
      <c r="BD77" s="4">
        <v>0</v>
      </c>
      <c r="BE77" s="1">
        <v>2022</v>
      </c>
      <c r="BF77" s="2">
        <v>12</v>
      </c>
      <c r="BG77" s="5">
        <f t="shared" si="2"/>
        <v>30475</v>
      </c>
      <c r="BH77" s="5">
        <f t="shared" si="2"/>
        <v>928264</v>
      </c>
      <c r="BI77" s="5">
        <f t="shared" si="2"/>
        <v>17846.186000000002</v>
      </c>
      <c r="BJ77" s="5">
        <f t="shared" si="2"/>
        <v>264899.58949999994</v>
      </c>
      <c r="BK77" s="2">
        <v>2022</v>
      </c>
    </row>
    <row r="78" spans="3:63" outlineLevel="1" x14ac:dyDescent="0.35">
      <c r="C78" s="3">
        <v>44927</v>
      </c>
      <c r="D78" s="1">
        <v>1</v>
      </c>
      <c r="E78" s="6">
        <v>26490</v>
      </c>
      <c r="F78" s="6">
        <v>26490</v>
      </c>
      <c r="G78" s="6">
        <v>6185.79</v>
      </c>
      <c r="H78" s="6">
        <v>6185.79</v>
      </c>
      <c r="I78" s="1">
        <v>2023</v>
      </c>
      <c r="J78" s="2">
        <v>1</v>
      </c>
      <c r="K78" s="7">
        <v>30618</v>
      </c>
      <c r="L78" s="7">
        <v>30618</v>
      </c>
      <c r="M78" s="7">
        <v>4452.54</v>
      </c>
      <c r="N78" s="7">
        <v>4452.54</v>
      </c>
      <c r="O78" s="2">
        <v>2023</v>
      </c>
      <c r="P78" s="1">
        <v>1</v>
      </c>
      <c r="Q78" s="6">
        <v>11871</v>
      </c>
      <c r="R78" s="6">
        <v>11871</v>
      </c>
      <c r="S78" s="6">
        <v>45.56</v>
      </c>
      <c r="T78" s="6">
        <v>45.56</v>
      </c>
      <c r="U78" s="1">
        <v>2023</v>
      </c>
      <c r="V78" s="2">
        <v>1</v>
      </c>
      <c r="W78" s="7">
        <v>19123</v>
      </c>
      <c r="X78" s="7">
        <v>19123</v>
      </c>
      <c r="Y78" s="7">
        <v>3936.12</v>
      </c>
      <c r="Z78" s="7">
        <v>3936.12</v>
      </c>
      <c r="AA78" s="2">
        <v>2023</v>
      </c>
      <c r="AB78" s="1">
        <v>1</v>
      </c>
      <c r="AC78" s="6">
        <v>1814</v>
      </c>
      <c r="AD78" s="6">
        <v>1814</v>
      </c>
      <c r="AE78" s="6">
        <v>0</v>
      </c>
      <c r="AF78" s="6">
        <v>0</v>
      </c>
      <c r="AG78" s="1">
        <v>2023</v>
      </c>
      <c r="AH78" s="2">
        <v>1</v>
      </c>
      <c r="AI78" s="7">
        <v>2940</v>
      </c>
      <c r="AJ78" s="7">
        <v>2940</v>
      </c>
      <c r="AK78" s="7">
        <v>0</v>
      </c>
      <c r="AL78" s="7">
        <v>0</v>
      </c>
      <c r="AM78" s="2">
        <v>2023</v>
      </c>
      <c r="AN78" s="1">
        <v>1</v>
      </c>
      <c r="AO78" s="6">
        <v>2472</v>
      </c>
      <c r="AP78" s="6">
        <v>2472</v>
      </c>
      <c r="AQ78" s="6">
        <v>2204.0579999999991</v>
      </c>
      <c r="AR78" s="6">
        <v>2204.0579999999991</v>
      </c>
      <c r="AS78" s="1">
        <v>2023</v>
      </c>
      <c r="AT78" s="2">
        <v>1</v>
      </c>
      <c r="AU78" s="7">
        <v>2582</v>
      </c>
      <c r="AV78" s="7">
        <v>2582</v>
      </c>
      <c r="AW78" s="7">
        <v>0</v>
      </c>
      <c r="AX78" s="7">
        <v>0</v>
      </c>
      <c r="AY78" s="2">
        <v>2023</v>
      </c>
      <c r="AZ78" s="1">
        <v>1</v>
      </c>
      <c r="BA78" s="6">
        <v>2180</v>
      </c>
      <c r="BB78" s="6">
        <v>2180</v>
      </c>
      <c r="BC78" s="4">
        <v>0</v>
      </c>
      <c r="BD78" s="4">
        <v>0</v>
      </c>
      <c r="BE78" s="1">
        <v>2023</v>
      </c>
      <c r="BF78" s="2">
        <v>1</v>
      </c>
      <c r="BG78" s="5">
        <f t="shared" si="2"/>
        <v>100090</v>
      </c>
      <c r="BH78" s="5">
        <f t="shared" si="2"/>
        <v>100090</v>
      </c>
      <c r="BI78" s="5">
        <f t="shared" si="2"/>
        <v>16824.067999999999</v>
      </c>
      <c r="BJ78" s="5">
        <f t="shared" si="2"/>
        <v>16824.067999999999</v>
      </c>
      <c r="BK78" s="2">
        <v>2023</v>
      </c>
    </row>
    <row r="79" spans="3:63" outlineLevel="1" x14ac:dyDescent="0.35">
      <c r="C79" s="3">
        <v>44958</v>
      </c>
      <c r="D79" s="1">
        <v>2</v>
      </c>
      <c r="E79" s="6">
        <v>6389</v>
      </c>
      <c r="F79" s="6">
        <v>32879</v>
      </c>
      <c r="G79" s="6">
        <v>2845.7200000000003</v>
      </c>
      <c r="H79" s="6">
        <v>9031.51</v>
      </c>
      <c r="I79" s="1">
        <v>2023</v>
      </c>
      <c r="J79" s="2">
        <v>2</v>
      </c>
      <c r="K79" s="7">
        <v>3600</v>
      </c>
      <c r="L79" s="7">
        <v>34218</v>
      </c>
      <c r="M79" s="7">
        <v>1652.67</v>
      </c>
      <c r="N79" s="7">
        <v>6105.21</v>
      </c>
      <c r="O79" s="2">
        <v>2023</v>
      </c>
      <c r="P79" s="1">
        <v>2</v>
      </c>
      <c r="Q79" s="6">
        <v>415</v>
      </c>
      <c r="R79" s="6">
        <v>12286</v>
      </c>
      <c r="S79" s="6">
        <v>0</v>
      </c>
      <c r="T79" s="6">
        <v>45.56</v>
      </c>
      <c r="U79" s="1">
        <v>2023</v>
      </c>
      <c r="V79" s="2">
        <v>2</v>
      </c>
      <c r="W79" s="7">
        <v>4265</v>
      </c>
      <c r="X79" s="7">
        <v>23388</v>
      </c>
      <c r="Y79" s="7">
        <v>2744.1099999999997</v>
      </c>
      <c r="Z79" s="7">
        <v>6680.23</v>
      </c>
      <c r="AA79" s="2">
        <v>2023</v>
      </c>
      <c r="AB79" s="1">
        <v>2</v>
      </c>
      <c r="AC79" s="6">
        <v>2143</v>
      </c>
      <c r="AD79" s="6">
        <v>3957</v>
      </c>
      <c r="AE79" s="6">
        <v>0</v>
      </c>
      <c r="AF79" s="6">
        <v>0</v>
      </c>
      <c r="AG79" s="1">
        <v>2023</v>
      </c>
      <c r="AH79" s="2">
        <v>2</v>
      </c>
      <c r="AI79" s="7">
        <v>636</v>
      </c>
      <c r="AJ79" s="7">
        <v>3576</v>
      </c>
      <c r="AK79" s="7">
        <v>0</v>
      </c>
      <c r="AL79" s="7">
        <v>0</v>
      </c>
      <c r="AM79" s="2">
        <v>2023</v>
      </c>
      <c r="AN79" s="1">
        <v>2</v>
      </c>
      <c r="AO79" s="6">
        <v>1779</v>
      </c>
      <c r="AP79" s="6">
        <v>4251</v>
      </c>
      <c r="AQ79" s="6">
        <v>1142.57</v>
      </c>
      <c r="AR79" s="6">
        <v>3346.6279999999988</v>
      </c>
      <c r="AS79" s="1">
        <v>2023</v>
      </c>
      <c r="AT79" s="2">
        <v>2</v>
      </c>
      <c r="AU79" s="7">
        <v>2160</v>
      </c>
      <c r="AV79" s="7">
        <v>4742</v>
      </c>
      <c r="AW79" s="7">
        <v>0</v>
      </c>
      <c r="AX79" s="7">
        <v>0</v>
      </c>
      <c r="AY79" s="2">
        <v>2023</v>
      </c>
      <c r="AZ79" s="1">
        <v>2</v>
      </c>
      <c r="BA79" s="6">
        <v>126</v>
      </c>
      <c r="BB79" s="6">
        <v>2306</v>
      </c>
      <c r="BC79" s="4">
        <v>0</v>
      </c>
      <c r="BD79" s="4">
        <v>0</v>
      </c>
      <c r="BE79" s="1">
        <v>2023</v>
      </c>
      <c r="BF79" s="2">
        <v>2</v>
      </c>
      <c r="BG79" s="5">
        <f t="shared" si="2"/>
        <v>21513</v>
      </c>
      <c r="BH79" s="5">
        <f t="shared" si="2"/>
        <v>121603</v>
      </c>
      <c r="BI79" s="5">
        <f t="shared" si="2"/>
        <v>8385.07</v>
      </c>
      <c r="BJ79" s="5">
        <f t="shared" si="2"/>
        <v>25209.137999999999</v>
      </c>
      <c r="BK79" s="2">
        <v>2023</v>
      </c>
    </row>
    <row r="80" spans="3:63" outlineLevel="1" x14ac:dyDescent="0.35">
      <c r="C80" s="3">
        <v>44986</v>
      </c>
      <c r="D80" s="1">
        <v>3</v>
      </c>
      <c r="E80" s="6">
        <v>4503</v>
      </c>
      <c r="F80" s="6">
        <v>37382</v>
      </c>
      <c r="G80" s="6">
        <v>721.46</v>
      </c>
      <c r="H80" s="6">
        <v>9752.9700000000012</v>
      </c>
      <c r="I80" s="1">
        <v>2023</v>
      </c>
      <c r="J80" s="2">
        <v>3</v>
      </c>
      <c r="K80" s="7">
        <v>7045</v>
      </c>
      <c r="L80" s="7">
        <v>41263</v>
      </c>
      <c r="M80" s="7">
        <v>989.57</v>
      </c>
      <c r="N80" s="7">
        <v>7094.78</v>
      </c>
      <c r="O80" s="2">
        <v>2023</v>
      </c>
      <c r="P80" s="1">
        <v>3</v>
      </c>
      <c r="Q80" s="6">
        <v>826</v>
      </c>
      <c r="R80" s="6">
        <v>13112</v>
      </c>
      <c r="S80" s="6">
        <v>8.25</v>
      </c>
      <c r="T80" s="6">
        <v>53.81</v>
      </c>
      <c r="U80" s="1">
        <v>2023</v>
      </c>
      <c r="V80" s="2">
        <v>3</v>
      </c>
      <c r="W80" s="7">
        <v>9708</v>
      </c>
      <c r="X80" s="7">
        <v>33096</v>
      </c>
      <c r="Y80" s="7">
        <v>59.47</v>
      </c>
      <c r="Z80" s="7">
        <v>6739.7</v>
      </c>
      <c r="AA80" s="2">
        <v>2023</v>
      </c>
      <c r="AB80" s="1">
        <v>3</v>
      </c>
      <c r="AC80" s="6">
        <v>6038</v>
      </c>
      <c r="AD80" s="6">
        <v>9995</v>
      </c>
      <c r="AE80" s="6">
        <v>0</v>
      </c>
      <c r="AF80" s="6">
        <v>0</v>
      </c>
      <c r="AG80" s="1">
        <v>2023</v>
      </c>
      <c r="AH80" s="2">
        <v>3</v>
      </c>
      <c r="AI80" s="7">
        <v>7717</v>
      </c>
      <c r="AJ80" s="7">
        <v>11293</v>
      </c>
      <c r="AK80" s="7">
        <v>0</v>
      </c>
      <c r="AL80" s="7">
        <v>0</v>
      </c>
      <c r="AM80" s="2">
        <v>2023</v>
      </c>
      <c r="AN80" s="1">
        <v>3</v>
      </c>
      <c r="AO80" s="6">
        <v>6846</v>
      </c>
      <c r="AP80" s="6">
        <v>11097</v>
      </c>
      <c r="AQ80" s="6">
        <v>3175.0660000000003</v>
      </c>
      <c r="AR80" s="6">
        <v>6521.6939999999995</v>
      </c>
      <c r="AS80" s="1">
        <v>2023</v>
      </c>
      <c r="AT80" s="2">
        <v>3</v>
      </c>
      <c r="AU80" s="7">
        <v>825</v>
      </c>
      <c r="AV80" s="7">
        <v>5567</v>
      </c>
      <c r="AW80" s="7">
        <v>0</v>
      </c>
      <c r="AX80" s="7">
        <v>0</v>
      </c>
      <c r="AY80" s="2">
        <v>2023</v>
      </c>
      <c r="AZ80" s="1">
        <v>3</v>
      </c>
      <c r="BA80" s="6">
        <v>219</v>
      </c>
      <c r="BB80" s="6">
        <v>2525</v>
      </c>
      <c r="BC80" s="4">
        <v>0</v>
      </c>
      <c r="BD80" s="4">
        <v>0</v>
      </c>
      <c r="BE80" s="1">
        <v>2023</v>
      </c>
      <c r="BF80" s="2">
        <v>3</v>
      </c>
      <c r="BG80" s="5">
        <f t="shared" si="2"/>
        <v>43727</v>
      </c>
      <c r="BH80" s="5">
        <f t="shared" si="2"/>
        <v>165330</v>
      </c>
      <c r="BI80" s="5">
        <f t="shared" si="2"/>
        <v>4953.8160000000007</v>
      </c>
      <c r="BJ80" s="5">
        <f t="shared" si="2"/>
        <v>30162.954000000002</v>
      </c>
      <c r="BK80" s="2">
        <v>2023</v>
      </c>
    </row>
    <row r="81" spans="3:63" outlineLevel="1" x14ac:dyDescent="0.35">
      <c r="C81" s="3">
        <v>45017</v>
      </c>
      <c r="D81" s="1">
        <v>4</v>
      </c>
      <c r="E81" s="6">
        <v>5161</v>
      </c>
      <c r="F81" s="6">
        <v>42543</v>
      </c>
      <c r="G81" s="6">
        <v>2823.52</v>
      </c>
      <c r="H81" s="6">
        <v>12576.490000000002</v>
      </c>
      <c r="I81" s="1">
        <v>2023</v>
      </c>
      <c r="J81" s="2">
        <v>4</v>
      </c>
      <c r="K81" s="7">
        <v>4715</v>
      </c>
      <c r="L81" s="7">
        <v>45978</v>
      </c>
      <c r="M81" s="7">
        <v>506.38</v>
      </c>
      <c r="N81" s="7">
        <v>7601.16</v>
      </c>
      <c r="O81" s="2">
        <v>2023</v>
      </c>
      <c r="P81" s="1">
        <v>4</v>
      </c>
      <c r="Q81" s="6">
        <v>2277</v>
      </c>
      <c r="R81" s="6">
        <v>15389</v>
      </c>
      <c r="S81" s="6">
        <v>1811.66</v>
      </c>
      <c r="T81" s="6">
        <v>1865.47</v>
      </c>
      <c r="U81" s="1">
        <v>2023</v>
      </c>
      <c r="V81" s="2">
        <v>4</v>
      </c>
      <c r="W81" s="7">
        <v>10726</v>
      </c>
      <c r="X81" s="7">
        <v>43822</v>
      </c>
      <c r="Y81" s="7">
        <v>120.24</v>
      </c>
      <c r="Z81" s="7">
        <v>6859.94</v>
      </c>
      <c r="AA81" s="2">
        <v>2023</v>
      </c>
      <c r="AB81" s="1">
        <v>4</v>
      </c>
      <c r="AC81" s="6">
        <v>3925</v>
      </c>
      <c r="AD81" s="6">
        <v>13920</v>
      </c>
      <c r="AE81" s="6">
        <v>0</v>
      </c>
      <c r="AF81" s="6">
        <v>0</v>
      </c>
      <c r="AG81" s="1">
        <v>2023</v>
      </c>
      <c r="AH81" s="2">
        <v>4</v>
      </c>
      <c r="AI81" s="7">
        <v>858</v>
      </c>
      <c r="AJ81" s="7">
        <v>12151</v>
      </c>
      <c r="AK81" s="7">
        <v>0</v>
      </c>
      <c r="AL81" s="7">
        <v>0</v>
      </c>
      <c r="AM81" s="2">
        <v>2023</v>
      </c>
      <c r="AN81" s="1">
        <v>4</v>
      </c>
      <c r="AO81" s="6">
        <v>3294</v>
      </c>
      <c r="AP81" s="6">
        <v>14391</v>
      </c>
      <c r="AQ81" s="6">
        <v>4114.8819999999996</v>
      </c>
      <c r="AR81" s="6">
        <v>10636.575999999999</v>
      </c>
      <c r="AS81" s="1">
        <v>2023</v>
      </c>
      <c r="AT81" s="2">
        <v>4</v>
      </c>
      <c r="AU81" s="7">
        <v>1317</v>
      </c>
      <c r="AV81" s="7">
        <v>6884</v>
      </c>
      <c r="AW81" s="7">
        <v>0</v>
      </c>
      <c r="AX81" s="7">
        <v>0</v>
      </c>
      <c r="AY81" s="2">
        <v>2023</v>
      </c>
      <c r="AZ81" s="1">
        <v>4</v>
      </c>
      <c r="BA81" s="6">
        <v>788</v>
      </c>
      <c r="BB81" s="6">
        <v>3313</v>
      </c>
      <c r="BC81" s="4">
        <v>0</v>
      </c>
      <c r="BD81" s="4">
        <v>0</v>
      </c>
      <c r="BE81" s="1">
        <v>2023</v>
      </c>
      <c r="BF81" s="2">
        <v>4</v>
      </c>
      <c r="BG81" s="5">
        <f t="shared" si="2"/>
        <v>33061</v>
      </c>
      <c r="BH81" s="5">
        <f t="shared" si="2"/>
        <v>198391</v>
      </c>
      <c r="BI81" s="5">
        <f t="shared" si="2"/>
        <v>9376.6820000000007</v>
      </c>
      <c r="BJ81" s="5">
        <f t="shared" si="2"/>
        <v>39539.635999999999</v>
      </c>
      <c r="BK81" s="2">
        <v>2023</v>
      </c>
    </row>
    <row r="82" spans="3:63" outlineLevel="1" x14ac:dyDescent="0.35">
      <c r="C82" s="3">
        <v>45047</v>
      </c>
      <c r="D82" s="1">
        <v>5</v>
      </c>
      <c r="E82" s="6">
        <v>14144</v>
      </c>
      <c r="F82" s="6">
        <v>56687</v>
      </c>
      <c r="G82" s="6">
        <v>7332.54</v>
      </c>
      <c r="H82" s="6">
        <v>19909.030000000002</v>
      </c>
      <c r="I82" s="1">
        <v>2023</v>
      </c>
      <c r="J82" s="2">
        <v>5</v>
      </c>
      <c r="K82" s="7">
        <v>19972</v>
      </c>
      <c r="L82" s="7">
        <v>65950</v>
      </c>
      <c r="M82" s="7">
        <v>9008.5</v>
      </c>
      <c r="N82" s="7">
        <v>16609.66</v>
      </c>
      <c r="O82" s="2">
        <v>2023</v>
      </c>
      <c r="P82" s="1">
        <v>5</v>
      </c>
      <c r="Q82" s="6">
        <v>7470</v>
      </c>
      <c r="R82" s="6">
        <v>22859</v>
      </c>
      <c r="S82" s="6">
        <v>1909.8200000000002</v>
      </c>
      <c r="T82" s="6">
        <v>3775.29</v>
      </c>
      <c r="U82" s="1">
        <v>2023</v>
      </c>
      <c r="V82" s="2">
        <v>5</v>
      </c>
      <c r="W82" s="7">
        <v>16246</v>
      </c>
      <c r="X82" s="7">
        <v>60068</v>
      </c>
      <c r="Y82" s="7">
        <v>10957.26</v>
      </c>
      <c r="Z82" s="7">
        <v>17817.2</v>
      </c>
      <c r="AA82" s="2">
        <v>2023</v>
      </c>
      <c r="AB82" s="1">
        <v>5</v>
      </c>
      <c r="AC82" s="6">
        <v>3113</v>
      </c>
      <c r="AD82" s="6">
        <v>17033</v>
      </c>
      <c r="AE82" s="6">
        <v>0</v>
      </c>
      <c r="AF82" s="6">
        <v>0</v>
      </c>
      <c r="AG82" s="1">
        <v>2023</v>
      </c>
      <c r="AH82" s="2">
        <v>5</v>
      </c>
      <c r="AI82" s="7">
        <v>2174</v>
      </c>
      <c r="AJ82" s="7">
        <v>14325</v>
      </c>
      <c r="AK82" s="7">
        <v>0</v>
      </c>
      <c r="AL82" s="7">
        <v>0</v>
      </c>
      <c r="AM82" s="2">
        <v>2023</v>
      </c>
      <c r="AN82" s="1">
        <v>5</v>
      </c>
      <c r="AO82" s="6">
        <v>6383</v>
      </c>
      <c r="AP82" s="6">
        <v>20774</v>
      </c>
      <c r="AQ82" s="6">
        <v>3427.6</v>
      </c>
      <c r="AR82" s="6">
        <v>14064.175999999999</v>
      </c>
      <c r="AS82" s="1">
        <v>2023</v>
      </c>
      <c r="AT82" s="2">
        <v>5</v>
      </c>
      <c r="AU82" s="7">
        <v>1482</v>
      </c>
      <c r="AV82" s="7">
        <v>8366</v>
      </c>
      <c r="AW82" s="7">
        <v>0</v>
      </c>
      <c r="AX82" s="7">
        <v>0</v>
      </c>
      <c r="AY82" s="2">
        <v>2023</v>
      </c>
      <c r="AZ82" s="1">
        <v>5</v>
      </c>
      <c r="BA82" s="6">
        <v>1467</v>
      </c>
      <c r="BB82" s="6">
        <v>4780</v>
      </c>
      <c r="BC82" s="4">
        <v>0</v>
      </c>
      <c r="BD82" s="4">
        <v>0</v>
      </c>
      <c r="BE82" s="1">
        <v>2023</v>
      </c>
      <c r="BF82" s="2">
        <v>5</v>
      </c>
      <c r="BG82" s="5">
        <f t="shared" si="2"/>
        <v>72451</v>
      </c>
      <c r="BH82" s="5">
        <f t="shared" si="2"/>
        <v>270842</v>
      </c>
      <c r="BI82" s="5">
        <f t="shared" si="2"/>
        <v>32635.72</v>
      </c>
      <c r="BJ82" s="5">
        <f t="shared" si="2"/>
        <v>72175.356</v>
      </c>
      <c r="BK82" s="2">
        <v>2023</v>
      </c>
    </row>
    <row r="83" spans="3:63" outlineLevel="1" x14ac:dyDescent="0.35">
      <c r="C83" s="3">
        <v>45078</v>
      </c>
      <c r="D83" s="1">
        <v>6</v>
      </c>
      <c r="E83" s="6">
        <v>5797</v>
      </c>
      <c r="F83" s="6">
        <v>62484</v>
      </c>
      <c r="G83" s="6">
        <v>8048.88</v>
      </c>
      <c r="H83" s="6">
        <v>27957.910000000003</v>
      </c>
      <c r="I83" s="1">
        <v>2023</v>
      </c>
      <c r="J83" s="2">
        <v>6</v>
      </c>
      <c r="K83" s="7">
        <v>16755</v>
      </c>
      <c r="L83" s="7">
        <v>82705</v>
      </c>
      <c r="M83" s="7">
        <v>8865.27</v>
      </c>
      <c r="N83" s="7">
        <v>25474.93</v>
      </c>
      <c r="O83" s="2">
        <v>2023</v>
      </c>
      <c r="P83" s="1">
        <v>6</v>
      </c>
      <c r="Q83" s="6">
        <v>8556</v>
      </c>
      <c r="R83" s="6">
        <v>31415</v>
      </c>
      <c r="S83" s="6">
        <v>4132.9800000000005</v>
      </c>
      <c r="T83" s="6">
        <v>7908.27</v>
      </c>
      <c r="U83" s="1">
        <v>2023</v>
      </c>
      <c r="V83" s="2">
        <v>6</v>
      </c>
      <c r="W83" s="7">
        <v>14364</v>
      </c>
      <c r="X83" s="7">
        <v>74432</v>
      </c>
      <c r="Y83" s="7">
        <v>7909.53</v>
      </c>
      <c r="Z83" s="7">
        <v>25726.73</v>
      </c>
      <c r="AA83" s="2">
        <v>2023</v>
      </c>
      <c r="AB83" s="1">
        <v>6</v>
      </c>
      <c r="AC83" s="6">
        <v>1202</v>
      </c>
      <c r="AD83" s="6">
        <v>18235</v>
      </c>
      <c r="AE83" s="6">
        <v>0</v>
      </c>
      <c r="AF83" s="6">
        <v>0</v>
      </c>
      <c r="AG83" s="1">
        <v>2023</v>
      </c>
      <c r="AH83" s="2">
        <v>6</v>
      </c>
      <c r="AI83" s="7">
        <v>2308</v>
      </c>
      <c r="AJ83" s="7">
        <v>16633</v>
      </c>
      <c r="AK83" s="7">
        <v>0</v>
      </c>
      <c r="AL83" s="7">
        <v>0</v>
      </c>
      <c r="AM83" s="2">
        <v>2023</v>
      </c>
      <c r="AN83" s="1">
        <v>6</v>
      </c>
      <c r="AO83" s="6">
        <v>2847</v>
      </c>
      <c r="AP83" s="6">
        <v>23621</v>
      </c>
      <c r="AQ83" s="6">
        <v>3875.6579999999999</v>
      </c>
      <c r="AR83" s="6">
        <v>17939.833999999999</v>
      </c>
      <c r="AS83" s="1">
        <v>2023</v>
      </c>
      <c r="AT83" s="2">
        <v>6</v>
      </c>
      <c r="AU83" s="7">
        <v>301</v>
      </c>
      <c r="AV83" s="7">
        <v>8667</v>
      </c>
      <c r="AW83" s="7">
        <v>0</v>
      </c>
      <c r="AX83" s="7">
        <v>0</v>
      </c>
      <c r="AY83" s="2">
        <v>2023</v>
      </c>
      <c r="AZ83" s="1">
        <v>6</v>
      </c>
      <c r="BA83" s="6">
        <v>891</v>
      </c>
      <c r="BB83" s="6">
        <v>5671</v>
      </c>
      <c r="BC83" s="4">
        <v>0</v>
      </c>
      <c r="BD83" s="4">
        <v>0</v>
      </c>
      <c r="BE83" s="1">
        <v>2023</v>
      </c>
      <c r="BF83" s="2">
        <v>6</v>
      </c>
      <c r="BG83" s="5">
        <f t="shared" si="2"/>
        <v>53021</v>
      </c>
      <c r="BH83" s="5">
        <f t="shared" si="2"/>
        <v>323863</v>
      </c>
      <c r="BI83" s="5">
        <f t="shared" si="2"/>
        <v>32832.317999999999</v>
      </c>
      <c r="BJ83" s="5">
        <f t="shared" si="2"/>
        <v>105007.674</v>
      </c>
      <c r="BK83" s="2">
        <v>2023</v>
      </c>
    </row>
    <row r="84" spans="3:63" outlineLevel="1" x14ac:dyDescent="0.35">
      <c r="C84" s="3">
        <v>45108</v>
      </c>
      <c r="D84" s="1">
        <v>7</v>
      </c>
      <c r="E84" s="6">
        <v>15226</v>
      </c>
      <c r="F84" s="6">
        <v>77710</v>
      </c>
      <c r="G84" s="6">
        <v>13454.65</v>
      </c>
      <c r="H84" s="6">
        <v>41412.560000000005</v>
      </c>
      <c r="I84" s="1">
        <v>2023</v>
      </c>
      <c r="J84" s="2">
        <v>7</v>
      </c>
      <c r="K84" s="7">
        <v>20332</v>
      </c>
      <c r="L84" s="7">
        <v>103037</v>
      </c>
      <c r="M84" s="7">
        <v>13578.329999999998</v>
      </c>
      <c r="N84" s="7">
        <v>39053.259999999995</v>
      </c>
      <c r="O84" s="2">
        <v>2023</v>
      </c>
      <c r="P84" s="1">
        <v>7</v>
      </c>
      <c r="Q84" s="6">
        <v>14960</v>
      </c>
      <c r="R84" s="6">
        <v>46375</v>
      </c>
      <c r="S84" s="6">
        <v>6805.82</v>
      </c>
      <c r="T84" s="6">
        <v>14714.09</v>
      </c>
      <c r="U84" s="1">
        <v>2023</v>
      </c>
      <c r="V84" s="2">
        <v>7</v>
      </c>
      <c r="W84" s="7">
        <v>20861</v>
      </c>
      <c r="X84" s="7">
        <v>95293</v>
      </c>
      <c r="Y84" s="7">
        <v>13639.02</v>
      </c>
      <c r="Z84" s="7">
        <v>39365.75</v>
      </c>
      <c r="AA84" s="2">
        <v>2023</v>
      </c>
      <c r="AB84" s="1">
        <v>7</v>
      </c>
      <c r="AC84" s="6">
        <v>1473</v>
      </c>
      <c r="AD84" s="6">
        <v>19708</v>
      </c>
      <c r="AE84" s="6">
        <v>0</v>
      </c>
      <c r="AF84" s="6">
        <v>0</v>
      </c>
      <c r="AG84" s="1">
        <v>2023</v>
      </c>
      <c r="AH84" s="2">
        <v>7</v>
      </c>
      <c r="AI84" s="7">
        <v>4214</v>
      </c>
      <c r="AJ84" s="7">
        <v>20847</v>
      </c>
      <c r="AK84" s="7">
        <v>0</v>
      </c>
      <c r="AL84" s="7">
        <v>0</v>
      </c>
      <c r="AM84" s="2">
        <v>2023</v>
      </c>
      <c r="AN84" s="1">
        <v>7</v>
      </c>
      <c r="AO84" s="6">
        <v>6148</v>
      </c>
      <c r="AP84" s="6">
        <v>29769</v>
      </c>
      <c r="AQ84" s="6">
        <v>1286.0259999999998</v>
      </c>
      <c r="AR84" s="6">
        <v>19225.86</v>
      </c>
      <c r="AS84" s="1">
        <v>2023</v>
      </c>
      <c r="AT84" s="2">
        <v>7</v>
      </c>
      <c r="AU84" s="7">
        <v>2796</v>
      </c>
      <c r="AV84" s="7">
        <v>11463</v>
      </c>
      <c r="AW84" s="7">
        <v>0</v>
      </c>
      <c r="AX84" s="7">
        <v>0</v>
      </c>
      <c r="AY84" s="2">
        <v>2023</v>
      </c>
      <c r="AZ84" s="1">
        <v>7</v>
      </c>
      <c r="BA84" s="6">
        <v>1888</v>
      </c>
      <c r="BB84" s="6">
        <v>7559</v>
      </c>
      <c r="BC84" s="4">
        <v>0</v>
      </c>
      <c r="BD84" s="4">
        <v>0</v>
      </c>
      <c r="BE84" s="1">
        <v>2023</v>
      </c>
      <c r="BF84" s="2">
        <v>7</v>
      </c>
      <c r="BG84" s="5">
        <f t="shared" si="2"/>
        <v>87898</v>
      </c>
      <c r="BH84" s="5">
        <f t="shared" si="2"/>
        <v>411761</v>
      </c>
      <c r="BI84" s="5">
        <f t="shared" si="2"/>
        <v>48763.84599999999</v>
      </c>
      <c r="BJ84" s="5">
        <f t="shared" si="2"/>
        <v>153771.52000000002</v>
      </c>
      <c r="BK84" s="2">
        <v>2023</v>
      </c>
    </row>
    <row r="85" spans="3:63" outlineLevel="1" x14ac:dyDescent="0.35">
      <c r="C85" s="3">
        <v>45139</v>
      </c>
      <c r="D85" s="1">
        <v>8</v>
      </c>
      <c r="E85" s="6">
        <v>11691</v>
      </c>
      <c r="F85" s="6">
        <v>89401</v>
      </c>
      <c r="G85" s="6">
        <v>9288.34</v>
      </c>
      <c r="H85" s="6">
        <v>50700.900000000009</v>
      </c>
      <c r="I85" s="1">
        <v>2023</v>
      </c>
      <c r="J85" s="2">
        <v>8</v>
      </c>
      <c r="K85" s="7">
        <v>9579</v>
      </c>
      <c r="L85" s="7">
        <v>112616</v>
      </c>
      <c r="M85" s="7">
        <v>5175.74</v>
      </c>
      <c r="N85" s="7">
        <v>44228.999999999993</v>
      </c>
      <c r="O85" s="2">
        <v>2023</v>
      </c>
      <c r="P85" s="1">
        <v>8</v>
      </c>
      <c r="Q85" s="6">
        <v>15009</v>
      </c>
      <c r="R85" s="6">
        <v>61384</v>
      </c>
      <c r="S85" s="6">
        <v>5574.3099999999995</v>
      </c>
      <c r="T85" s="6">
        <v>20288.400000000001</v>
      </c>
      <c r="U85" s="1">
        <v>2023</v>
      </c>
      <c r="V85" s="2">
        <v>8</v>
      </c>
      <c r="W85" s="7">
        <v>34365</v>
      </c>
      <c r="X85" s="7">
        <v>129658</v>
      </c>
      <c r="Y85" s="7">
        <v>13419.36</v>
      </c>
      <c r="Z85" s="7">
        <v>52785.11</v>
      </c>
      <c r="AA85" s="2">
        <v>2023</v>
      </c>
      <c r="AB85" s="1">
        <v>8</v>
      </c>
      <c r="AC85" s="6">
        <v>3506</v>
      </c>
      <c r="AD85" s="6">
        <v>23214</v>
      </c>
      <c r="AE85" s="6">
        <v>0</v>
      </c>
      <c r="AF85" s="6">
        <v>0</v>
      </c>
      <c r="AG85" s="1">
        <v>2023</v>
      </c>
      <c r="AH85" s="2">
        <v>8</v>
      </c>
      <c r="AI85" s="7">
        <v>6704</v>
      </c>
      <c r="AJ85" s="7">
        <v>27551</v>
      </c>
      <c r="AK85" s="7">
        <v>0</v>
      </c>
      <c r="AL85" s="7">
        <v>0</v>
      </c>
      <c r="AM85" s="2">
        <v>2023</v>
      </c>
      <c r="AN85" s="1">
        <v>8</v>
      </c>
      <c r="AO85" s="6">
        <v>1638</v>
      </c>
      <c r="AP85" s="6">
        <v>31407</v>
      </c>
      <c r="AQ85" s="6">
        <v>1147.5940000000001</v>
      </c>
      <c r="AR85" s="6">
        <v>20373.454000000002</v>
      </c>
      <c r="AS85" s="1">
        <v>2023</v>
      </c>
      <c r="AT85" s="2">
        <v>8</v>
      </c>
      <c r="AU85" s="7">
        <v>588</v>
      </c>
      <c r="AV85" s="7">
        <v>12051</v>
      </c>
      <c r="AW85" s="7">
        <v>0</v>
      </c>
      <c r="AX85" s="7">
        <v>0</v>
      </c>
      <c r="AY85" s="2">
        <v>2023</v>
      </c>
      <c r="AZ85" s="1">
        <v>8</v>
      </c>
      <c r="BA85" s="6">
        <v>2050</v>
      </c>
      <c r="BB85" s="6">
        <v>9609</v>
      </c>
      <c r="BC85" s="4">
        <v>0</v>
      </c>
      <c r="BD85" s="4">
        <v>0</v>
      </c>
      <c r="BE85" s="1">
        <v>2023</v>
      </c>
      <c r="BF85" s="2">
        <v>8</v>
      </c>
      <c r="BG85" s="5">
        <f t="shared" si="2"/>
        <v>85130</v>
      </c>
      <c r="BH85" s="5">
        <f t="shared" si="2"/>
        <v>496891</v>
      </c>
      <c r="BI85" s="5">
        <f t="shared" si="2"/>
        <v>34605.343999999997</v>
      </c>
      <c r="BJ85" s="5">
        <f t="shared" si="2"/>
        <v>188376.86399999997</v>
      </c>
      <c r="BK85" s="2">
        <v>2023</v>
      </c>
    </row>
    <row r="86" spans="3:63" outlineLevel="1" x14ac:dyDescent="0.35">
      <c r="C86" s="3">
        <v>45170</v>
      </c>
      <c r="D86" s="1">
        <v>9</v>
      </c>
      <c r="E86" s="6">
        <v>14224</v>
      </c>
      <c r="F86" s="6">
        <v>103625</v>
      </c>
      <c r="G86" s="6">
        <v>4905.8799999999992</v>
      </c>
      <c r="H86" s="6">
        <v>55606.780000000006</v>
      </c>
      <c r="I86" s="1">
        <v>2023</v>
      </c>
      <c r="J86" s="2">
        <v>9</v>
      </c>
      <c r="K86" s="7">
        <v>9203</v>
      </c>
      <c r="L86" s="7">
        <v>121819</v>
      </c>
      <c r="M86" s="7">
        <v>3555.81</v>
      </c>
      <c r="N86" s="7">
        <v>47784.80999999999</v>
      </c>
      <c r="O86" s="2">
        <v>2023</v>
      </c>
      <c r="P86" s="1">
        <v>9</v>
      </c>
      <c r="Q86" s="6">
        <v>7391</v>
      </c>
      <c r="R86" s="6">
        <v>68775</v>
      </c>
      <c r="S86" s="6">
        <v>1089.3599999999999</v>
      </c>
      <c r="T86" s="6">
        <v>21377.760000000002</v>
      </c>
      <c r="U86" s="1">
        <v>2023</v>
      </c>
      <c r="V86" s="2">
        <v>9</v>
      </c>
      <c r="W86" s="7">
        <v>13438</v>
      </c>
      <c r="X86" s="7">
        <v>143096</v>
      </c>
      <c r="Y86" s="7">
        <v>10322.82</v>
      </c>
      <c r="Z86" s="7">
        <v>63107.93</v>
      </c>
      <c r="AA86" s="2">
        <v>2023</v>
      </c>
      <c r="AB86" s="1">
        <v>9</v>
      </c>
      <c r="AC86" s="6">
        <v>2002</v>
      </c>
      <c r="AD86" s="6">
        <v>25216</v>
      </c>
      <c r="AE86" s="6">
        <v>0</v>
      </c>
      <c r="AF86" s="6">
        <v>0</v>
      </c>
      <c r="AG86" s="1">
        <v>2023</v>
      </c>
      <c r="AH86" s="2">
        <v>9</v>
      </c>
      <c r="AI86" s="7">
        <v>1886</v>
      </c>
      <c r="AJ86" s="7">
        <v>29437</v>
      </c>
      <c r="AK86" s="7">
        <v>0</v>
      </c>
      <c r="AL86" s="7">
        <v>0</v>
      </c>
      <c r="AM86" s="2">
        <v>2023</v>
      </c>
      <c r="AN86" s="1">
        <v>9</v>
      </c>
      <c r="AO86" s="6">
        <v>810</v>
      </c>
      <c r="AP86" s="6">
        <v>32217</v>
      </c>
      <c r="AQ86" s="6">
        <v>270.86</v>
      </c>
      <c r="AR86" s="6">
        <v>20644.314000000002</v>
      </c>
      <c r="AS86" s="1">
        <v>2023</v>
      </c>
      <c r="AT86" s="2">
        <v>9</v>
      </c>
      <c r="AU86" s="7">
        <v>531</v>
      </c>
      <c r="AV86" s="7">
        <v>12582</v>
      </c>
      <c r="AW86" s="7">
        <v>0</v>
      </c>
      <c r="AX86" s="7">
        <v>0</v>
      </c>
      <c r="AY86" s="2">
        <v>2023</v>
      </c>
      <c r="AZ86" s="1">
        <v>9</v>
      </c>
      <c r="BA86" s="6">
        <v>531</v>
      </c>
      <c r="BB86" s="6">
        <v>10140</v>
      </c>
      <c r="BC86" s="4">
        <v>0</v>
      </c>
      <c r="BD86" s="4">
        <v>0</v>
      </c>
      <c r="BE86" s="1">
        <v>2023</v>
      </c>
      <c r="BF86" s="2">
        <v>9</v>
      </c>
      <c r="BG86" s="5">
        <f t="shared" si="2"/>
        <v>50016</v>
      </c>
      <c r="BH86" s="5">
        <f t="shared" si="2"/>
        <v>546907</v>
      </c>
      <c r="BI86" s="5">
        <f t="shared" si="2"/>
        <v>20144.73</v>
      </c>
      <c r="BJ86" s="5">
        <f t="shared" ref="BJ86:BJ113" si="3">+H86+N86+T86+Z86+AF86+AL86+AR86+AX86+BD86</f>
        <v>208521.59400000001</v>
      </c>
      <c r="BK86" s="2">
        <v>2023</v>
      </c>
    </row>
    <row r="87" spans="3:63" outlineLevel="1" x14ac:dyDescent="0.35">
      <c r="C87" s="3">
        <v>45200</v>
      </c>
      <c r="D87" s="1">
        <v>10</v>
      </c>
      <c r="E87" s="6">
        <v>1782</v>
      </c>
      <c r="F87" s="6">
        <v>105407</v>
      </c>
      <c r="G87" s="6">
        <v>5572.1100000000006</v>
      </c>
      <c r="H87" s="6">
        <v>61178.890000000007</v>
      </c>
      <c r="I87" s="1">
        <v>2023</v>
      </c>
      <c r="J87" s="2">
        <v>10</v>
      </c>
      <c r="K87" s="7">
        <v>3172</v>
      </c>
      <c r="L87" s="7">
        <v>124991</v>
      </c>
      <c r="M87" s="7">
        <v>6489.72</v>
      </c>
      <c r="N87" s="7">
        <v>54274.529999999992</v>
      </c>
      <c r="O87" s="2">
        <v>2023</v>
      </c>
      <c r="P87" s="1">
        <v>10</v>
      </c>
      <c r="Q87" s="6">
        <v>1124</v>
      </c>
      <c r="R87" s="6">
        <v>69899</v>
      </c>
      <c r="S87" s="6">
        <v>1812.35</v>
      </c>
      <c r="T87" s="6">
        <v>23190.11</v>
      </c>
      <c r="U87" s="1">
        <v>2023</v>
      </c>
      <c r="V87" s="2">
        <v>10</v>
      </c>
      <c r="W87" s="7">
        <v>1905</v>
      </c>
      <c r="X87" s="7">
        <v>145001</v>
      </c>
      <c r="Y87" s="7">
        <v>5629.01</v>
      </c>
      <c r="Z87" s="7">
        <v>68736.94</v>
      </c>
      <c r="AA87" s="2">
        <v>2023</v>
      </c>
      <c r="AB87" s="1">
        <v>10</v>
      </c>
      <c r="AC87" s="6">
        <v>728</v>
      </c>
      <c r="AD87" s="6">
        <v>25944</v>
      </c>
      <c r="AE87" s="6">
        <v>0</v>
      </c>
      <c r="AF87" s="6">
        <v>0</v>
      </c>
      <c r="AG87" s="1">
        <v>2023</v>
      </c>
      <c r="AH87" s="2">
        <v>10</v>
      </c>
      <c r="AI87" s="7">
        <v>4992</v>
      </c>
      <c r="AJ87" s="7">
        <v>34429</v>
      </c>
      <c r="AK87" s="7">
        <v>0</v>
      </c>
      <c r="AL87" s="7">
        <v>0</v>
      </c>
      <c r="AM87" s="2">
        <v>2023</v>
      </c>
      <c r="AN87" s="1">
        <v>10</v>
      </c>
      <c r="AO87" s="6">
        <v>232</v>
      </c>
      <c r="AP87" s="6">
        <v>32449</v>
      </c>
      <c r="AQ87" s="6">
        <v>78.62</v>
      </c>
      <c r="AR87" s="6">
        <v>20722.934000000001</v>
      </c>
      <c r="AS87" s="1">
        <v>2023</v>
      </c>
      <c r="AT87" s="2">
        <v>10</v>
      </c>
      <c r="AU87" s="7">
        <v>305</v>
      </c>
      <c r="AV87" s="7">
        <v>12887</v>
      </c>
      <c r="AW87" s="7">
        <v>0</v>
      </c>
      <c r="AX87" s="7">
        <v>0</v>
      </c>
      <c r="AY87" s="2">
        <v>2023</v>
      </c>
      <c r="AZ87" s="1">
        <v>10</v>
      </c>
      <c r="BA87" s="6">
        <v>330</v>
      </c>
      <c r="BB87" s="6">
        <v>10470</v>
      </c>
      <c r="BC87" s="4">
        <v>0</v>
      </c>
      <c r="BD87" s="4">
        <v>0</v>
      </c>
      <c r="BE87" s="1">
        <v>2023</v>
      </c>
      <c r="BF87" s="2">
        <v>10</v>
      </c>
      <c r="BG87" s="5">
        <f t="shared" ref="BG87:BI102" si="4">+E87+K87+Q87+W87+AC87+AI87+AO87+AU87+BA87</f>
        <v>14570</v>
      </c>
      <c r="BH87" s="5">
        <f t="shared" si="4"/>
        <v>561477</v>
      </c>
      <c r="BI87" s="5">
        <f t="shared" si="4"/>
        <v>19581.810000000001</v>
      </c>
      <c r="BJ87" s="5">
        <f t="shared" si="3"/>
        <v>228103.40400000001</v>
      </c>
      <c r="BK87" s="2">
        <v>2023</v>
      </c>
    </row>
    <row r="88" spans="3:63" outlineLevel="1" x14ac:dyDescent="0.35">
      <c r="C88" s="3">
        <v>45231</v>
      </c>
      <c r="D88" s="1">
        <v>11</v>
      </c>
      <c r="E88" s="6">
        <v>6221</v>
      </c>
      <c r="F88" s="6">
        <v>111628</v>
      </c>
      <c r="G88" s="6">
        <v>4905.33</v>
      </c>
      <c r="H88" s="6">
        <v>66084.22</v>
      </c>
      <c r="I88" s="1">
        <v>2023</v>
      </c>
      <c r="J88" s="2">
        <v>11</v>
      </c>
      <c r="K88" s="7">
        <v>5938</v>
      </c>
      <c r="L88" s="7">
        <v>130929</v>
      </c>
      <c r="M88" s="7">
        <v>4824.43</v>
      </c>
      <c r="N88" s="7">
        <v>59098.959999999992</v>
      </c>
      <c r="O88" s="2">
        <v>2023</v>
      </c>
      <c r="P88" s="1">
        <v>11</v>
      </c>
      <c r="Q88" s="6">
        <v>5706</v>
      </c>
      <c r="R88" s="6">
        <v>75605</v>
      </c>
      <c r="S88" s="6">
        <v>4862.41</v>
      </c>
      <c r="T88" s="6">
        <v>28052.52</v>
      </c>
      <c r="U88" s="1">
        <v>2023</v>
      </c>
      <c r="V88" s="2">
        <v>11</v>
      </c>
      <c r="W88" s="7">
        <v>9483</v>
      </c>
      <c r="X88" s="7">
        <v>154484</v>
      </c>
      <c r="Y88" s="7">
        <v>7256.6500000000005</v>
      </c>
      <c r="Z88" s="7">
        <v>75993.59</v>
      </c>
      <c r="AA88" s="2">
        <v>2023</v>
      </c>
      <c r="AB88" s="1">
        <v>11</v>
      </c>
      <c r="AC88" s="6">
        <v>1433</v>
      </c>
      <c r="AD88" s="6">
        <v>27377</v>
      </c>
      <c r="AE88" s="6">
        <v>0</v>
      </c>
      <c r="AF88" s="6">
        <v>0</v>
      </c>
      <c r="AG88" s="1">
        <v>2023</v>
      </c>
      <c r="AH88" s="2">
        <v>11</v>
      </c>
      <c r="AI88" s="7">
        <v>900</v>
      </c>
      <c r="AJ88" s="7">
        <v>35329</v>
      </c>
      <c r="AK88" s="7">
        <v>0</v>
      </c>
      <c r="AL88" s="7">
        <v>0</v>
      </c>
      <c r="AM88" s="2">
        <v>2023</v>
      </c>
      <c r="AN88" s="1">
        <v>11</v>
      </c>
      <c r="AO88" s="6">
        <v>1592</v>
      </c>
      <c r="AP88" s="6">
        <v>34041</v>
      </c>
      <c r="AQ88" s="6">
        <v>376.28</v>
      </c>
      <c r="AR88" s="6">
        <v>21099.214</v>
      </c>
      <c r="AS88" s="1">
        <v>2023</v>
      </c>
      <c r="AT88" s="2">
        <v>11</v>
      </c>
      <c r="AU88" s="7">
        <v>1111</v>
      </c>
      <c r="AV88" s="7">
        <v>13998</v>
      </c>
      <c r="AW88" s="7">
        <v>0</v>
      </c>
      <c r="AX88" s="7">
        <v>0</v>
      </c>
      <c r="AY88" s="2">
        <v>2023</v>
      </c>
      <c r="AZ88" s="1">
        <v>11</v>
      </c>
      <c r="BA88" s="6">
        <v>5985</v>
      </c>
      <c r="BB88" s="6">
        <v>16455</v>
      </c>
      <c r="BC88" s="4">
        <v>0</v>
      </c>
      <c r="BD88" s="4">
        <v>0</v>
      </c>
      <c r="BE88" s="1">
        <v>2023</v>
      </c>
      <c r="BF88" s="2">
        <v>11</v>
      </c>
      <c r="BG88" s="5">
        <f t="shared" si="4"/>
        <v>38369</v>
      </c>
      <c r="BH88" s="5">
        <f t="shared" si="4"/>
        <v>599846</v>
      </c>
      <c r="BI88" s="5">
        <f t="shared" si="4"/>
        <v>22225.1</v>
      </c>
      <c r="BJ88" s="5">
        <f t="shared" si="3"/>
        <v>250328.50399999999</v>
      </c>
      <c r="BK88" s="2">
        <v>2023</v>
      </c>
    </row>
    <row r="89" spans="3:63" outlineLevel="1" x14ac:dyDescent="0.35">
      <c r="C89" s="3">
        <v>45261</v>
      </c>
      <c r="D89" s="1">
        <v>12</v>
      </c>
      <c r="E89" s="6">
        <v>1235</v>
      </c>
      <c r="F89" s="6">
        <v>112863</v>
      </c>
      <c r="G89" s="6">
        <v>4856.33</v>
      </c>
      <c r="H89" s="6">
        <v>70940.55</v>
      </c>
      <c r="I89" s="1">
        <v>2023</v>
      </c>
      <c r="J89" s="2">
        <v>12</v>
      </c>
      <c r="K89" s="7">
        <v>4430</v>
      </c>
      <c r="L89" s="7">
        <v>135359</v>
      </c>
      <c r="M89" s="7">
        <v>2911.8</v>
      </c>
      <c r="N89" s="7">
        <v>62010.759999999995</v>
      </c>
      <c r="O89" s="2">
        <v>2023</v>
      </c>
      <c r="P89" s="1">
        <v>12</v>
      </c>
      <c r="Q89" s="6">
        <v>3080</v>
      </c>
      <c r="R89" s="6">
        <v>78685</v>
      </c>
      <c r="S89" s="6">
        <v>1436.95</v>
      </c>
      <c r="T89" s="6">
        <v>29489.47</v>
      </c>
      <c r="U89" s="1">
        <v>2023</v>
      </c>
      <c r="V89" s="2">
        <v>12</v>
      </c>
      <c r="W89" s="7">
        <v>4296</v>
      </c>
      <c r="X89" s="7">
        <v>158780</v>
      </c>
      <c r="Y89" s="7">
        <v>3761.31</v>
      </c>
      <c r="Z89" s="7">
        <v>79754.899999999994</v>
      </c>
      <c r="AA89" s="2">
        <v>2023</v>
      </c>
      <c r="AB89" s="1">
        <v>12</v>
      </c>
      <c r="AC89" s="6">
        <v>1190</v>
      </c>
      <c r="AD89" s="6">
        <v>28567</v>
      </c>
      <c r="AE89" s="6">
        <v>0</v>
      </c>
      <c r="AF89" s="6">
        <v>0</v>
      </c>
      <c r="AG89" s="1">
        <v>2023</v>
      </c>
      <c r="AH89" s="2">
        <v>12</v>
      </c>
      <c r="AI89" s="7">
        <v>3943</v>
      </c>
      <c r="AJ89" s="7">
        <v>39272</v>
      </c>
      <c r="AK89" s="7">
        <v>0</v>
      </c>
      <c r="AL89" s="7">
        <v>0</v>
      </c>
      <c r="AM89" s="2">
        <v>2023</v>
      </c>
      <c r="AN89" s="1">
        <v>12</v>
      </c>
      <c r="AO89" s="6">
        <v>3413</v>
      </c>
      <c r="AP89" s="6">
        <v>37454</v>
      </c>
      <c r="AQ89" s="6">
        <v>2887.29</v>
      </c>
      <c r="AR89" s="6">
        <v>23986.504000000001</v>
      </c>
      <c r="AS89" s="1">
        <v>2023</v>
      </c>
      <c r="AT89" s="2">
        <v>12</v>
      </c>
      <c r="AU89" s="7">
        <v>2037</v>
      </c>
      <c r="AV89" s="7">
        <v>16035</v>
      </c>
      <c r="AW89" s="7">
        <v>0</v>
      </c>
      <c r="AX89" s="7">
        <v>0</v>
      </c>
      <c r="AY89" s="2">
        <v>2023</v>
      </c>
      <c r="AZ89" s="1">
        <v>12</v>
      </c>
      <c r="BA89" s="6">
        <v>2434</v>
      </c>
      <c r="BB89" s="6">
        <v>18889</v>
      </c>
      <c r="BC89" s="4">
        <v>0</v>
      </c>
      <c r="BD89" s="4">
        <v>0</v>
      </c>
      <c r="BE89" s="1">
        <v>2023</v>
      </c>
      <c r="BF89" s="2">
        <v>12</v>
      </c>
      <c r="BG89" s="5">
        <f t="shared" si="4"/>
        <v>26058</v>
      </c>
      <c r="BH89" s="5">
        <f t="shared" si="4"/>
        <v>625904</v>
      </c>
      <c r="BI89" s="5">
        <f t="shared" si="4"/>
        <v>15853.68</v>
      </c>
      <c r="BJ89" s="5">
        <f t="shared" si="3"/>
        <v>266182.18400000001</v>
      </c>
      <c r="BK89" s="2">
        <v>2023</v>
      </c>
    </row>
    <row r="90" spans="3:63" outlineLevel="1" x14ac:dyDescent="0.35">
      <c r="C90" s="3">
        <v>45292</v>
      </c>
      <c r="D90" s="1">
        <v>1</v>
      </c>
      <c r="E90" s="6">
        <v>22009</v>
      </c>
      <c r="F90" s="6">
        <v>22009</v>
      </c>
      <c r="G90" s="6">
        <v>4785.91</v>
      </c>
      <c r="H90" s="6">
        <v>4785.91</v>
      </c>
      <c r="I90" s="1">
        <v>2024</v>
      </c>
      <c r="J90" s="2">
        <v>1</v>
      </c>
      <c r="K90" s="7">
        <v>24644</v>
      </c>
      <c r="L90" s="7">
        <v>24644</v>
      </c>
      <c r="M90" s="7">
        <v>2089.73</v>
      </c>
      <c r="N90" s="7">
        <v>2089.73</v>
      </c>
      <c r="O90" s="2">
        <v>2024</v>
      </c>
      <c r="P90" s="1">
        <v>1</v>
      </c>
      <c r="Q90" s="6">
        <v>26445</v>
      </c>
      <c r="R90" s="6">
        <v>26445</v>
      </c>
      <c r="S90" s="6">
        <v>3464.85</v>
      </c>
      <c r="T90" s="6">
        <v>3464.85</v>
      </c>
      <c r="U90" s="1">
        <v>2024</v>
      </c>
      <c r="V90" s="2">
        <v>1</v>
      </c>
      <c r="W90" s="7">
        <v>38901</v>
      </c>
      <c r="X90" s="7">
        <v>38901</v>
      </c>
      <c r="Y90" s="7">
        <v>2961.77</v>
      </c>
      <c r="Z90" s="7">
        <v>2961.77</v>
      </c>
      <c r="AA90" s="2">
        <v>2024</v>
      </c>
      <c r="AB90" s="1">
        <v>1</v>
      </c>
      <c r="AC90" s="6">
        <v>4982</v>
      </c>
      <c r="AD90" s="6">
        <v>4982</v>
      </c>
      <c r="AE90" s="6">
        <v>0</v>
      </c>
      <c r="AF90" s="6">
        <v>0</v>
      </c>
      <c r="AG90" s="1">
        <v>2024</v>
      </c>
      <c r="AH90" s="2">
        <v>1</v>
      </c>
      <c r="AI90" s="7">
        <v>15641</v>
      </c>
      <c r="AJ90" s="7">
        <v>15641</v>
      </c>
      <c r="AK90" s="7">
        <v>0</v>
      </c>
      <c r="AL90" s="7">
        <v>0</v>
      </c>
      <c r="AM90" s="2">
        <v>2024</v>
      </c>
      <c r="AN90" s="1">
        <v>1</v>
      </c>
      <c r="AO90" s="6">
        <v>5489</v>
      </c>
      <c r="AP90" s="6">
        <v>5489</v>
      </c>
      <c r="AQ90" s="6">
        <v>892.92</v>
      </c>
      <c r="AR90" s="6">
        <v>892.92</v>
      </c>
      <c r="AS90" s="1">
        <v>2024</v>
      </c>
      <c r="AT90" s="2">
        <v>1</v>
      </c>
      <c r="AU90" s="7">
        <v>4314</v>
      </c>
      <c r="AV90" s="7">
        <v>4314</v>
      </c>
      <c r="AW90" s="7">
        <v>0</v>
      </c>
      <c r="AX90" s="7">
        <v>0</v>
      </c>
      <c r="AY90" s="2">
        <v>2024</v>
      </c>
      <c r="AZ90" s="1">
        <v>1</v>
      </c>
      <c r="BA90" s="6">
        <v>5915</v>
      </c>
      <c r="BB90" s="6">
        <v>5915</v>
      </c>
      <c r="BC90" s="4">
        <v>0</v>
      </c>
      <c r="BD90" s="4">
        <v>0</v>
      </c>
      <c r="BE90" s="1">
        <v>2024</v>
      </c>
      <c r="BF90" s="2">
        <v>1</v>
      </c>
      <c r="BG90" s="5">
        <f t="shared" si="4"/>
        <v>148340</v>
      </c>
      <c r="BH90" s="5">
        <f t="shared" si="4"/>
        <v>148340</v>
      </c>
      <c r="BI90" s="5">
        <f t="shared" si="4"/>
        <v>14195.18</v>
      </c>
      <c r="BJ90" s="5">
        <f t="shared" si="3"/>
        <v>14195.18</v>
      </c>
      <c r="BK90" s="2">
        <v>2024</v>
      </c>
    </row>
    <row r="91" spans="3:63" outlineLevel="1" x14ac:dyDescent="0.35">
      <c r="C91" s="3">
        <v>45323</v>
      </c>
      <c r="D91" s="1">
        <v>2</v>
      </c>
      <c r="E91" s="6">
        <v>4089</v>
      </c>
      <c r="F91" s="6">
        <v>26098</v>
      </c>
      <c r="G91" s="6">
        <v>3204.17</v>
      </c>
      <c r="H91" s="6">
        <v>7990.08</v>
      </c>
      <c r="I91" s="1">
        <v>2024</v>
      </c>
      <c r="J91" s="2">
        <v>2</v>
      </c>
      <c r="K91" s="7">
        <v>4859</v>
      </c>
      <c r="L91" s="7">
        <v>29503</v>
      </c>
      <c r="M91" s="7">
        <v>1737.5700000000002</v>
      </c>
      <c r="N91" s="7">
        <v>3827.3</v>
      </c>
      <c r="O91" s="2">
        <v>2024</v>
      </c>
      <c r="P91" s="1">
        <v>2</v>
      </c>
      <c r="Q91" s="6">
        <v>4698</v>
      </c>
      <c r="R91" s="6">
        <v>31143</v>
      </c>
      <c r="S91" s="6">
        <v>1562.72</v>
      </c>
      <c r="T91" s="6">
        <v>5027.57</v>
      </c>
      <c r="U91" s="1">
        <v>2024</v>
      </c>
      <c r="V91" s="2">
        <v>2</v>
      </c>
      <c r="W91" s="7">
        <v>5829</v>
      </c>
      <c r="X91" s="7">
        <v>44730</v>
      </c>
      <c r="Y91" s="7">
        <v>1997.8</v>
      </c>
      <c r="Z91" s="7">
        <v>4959.57</v>
      </c>
      <c r="AA91" s="2">
        <v>2024</v>
      </c>
      <c r="AB91" s="1">
        <v>2</v>
      </c>
      <c r="AC91" s="6">
        <v>5240</v>
      </c>
      <c r="AD91" s="6">
        <v>10222</v>
      </c>
      <c r="AE91" s="6">
        <v>633.59</v>
      </c>
      <c r="AF91" s="6">
        <v>633.59</v>
      </c>
      <c r="AG91" s="1">
        <v>2024</v>
      </c>
      <c r="AH91" s="2">
        <v>2</v>
      </c>
      <c r="AI91" s="7">
        <v>7348</v>
      </c>
      <c r="AJ91" s="7">
        <v>22989</v>
      </c>
      <c r="AK91" s="7">
        <v>31.72</v>
      </c>
      <c r="AL91" s="7">
        <v>31.72</v>
      </c>
      <c r="AM91" s="2">
        <v>2024</v>
      </c>
      <c r="AN91" s="1">
        <v>2</v>
      </c>
      <c r="AO91" s="6">
        <v>1274</v>
      </c>
      <c r="AP91" s="6">
        <v>6763</v>
      </c>
      <c r="AQ91" s="6">
        <v>2149.1999999999998</v>
      </c>
      <c r="AR91" s="6">
        <v>3042.12</v>
      </c>
      <c r="AS91" s="1">
        <v>2024</v>
      </c>
      <c r="AT91" s="2">
        <v>2</v>
      </c>
      <c r="AU91" s="7">
        <v>1283</v>
      </c>
      <c r="AV91" s="7">
        <v>5597</v>
      </c>
      <c r="AW91" s="7">
        <v>0</v>
      </c>
      <c r="AX91" s="7">
        <v>0</v>
      </c>
      <c r="AY91" s="2">
        <v>2024</v>
      </c>
      <c r="AZ91" s="1">
        <v>2</v>
      </c>
      <c r="BA91" s="6">
        <v>3421</v>
      </c>
      <c r="BB91" s="6">
        <v>9336</v>
      </c>
      <c r="BC91" s="4">
        <v>0</v>
      </c>
      <c r="BD91" s="4">
        <v>0</v>
      </c>
      <c r="BE91" s="1">
        <v>2024</v>
      </c>
      <c r="BF91" s="2">
        <v>2</v>
      </c>
      <c r="BG91" s="5">
        <f t="shared" si="4"/>
        <v>38041</v>
      </c>
      <c r="BH91" s="5">
        <f t="shared" si="4"/>
        <v>186381</v>
      </c>
      <c r="BI91" s="5">
        <f t="shared" si="4"/>
        <v>11316.77</v>
      </c>
      <c r="BJ91" s="5">
        <f t="shared" si="3"/>
        <v>25511.95</v>
      </c>
      <c r="BK91" s="2">
        <v>2024</v>
      </c>
    </row>
    <row r="92" spans="3:63" outlineLevel="1" x14ac:dyDescent="0.35">
      <c r="C92" s="3">
        <v>45352</v>
      </c>
      <c r="D92" s="1">
        <v>3</v>
      </c>
      <c r="E92" s="6">
        <v>9241</v>
      </c>
      <c r="F92" s="6">
        <v>35339</v>
      </c>
      <c r="G92" s="6">
        <v>1662.44</v>
      </c>
      <c r="H92" s="6">
        <v>9652.52</v>
      </c>
      <c r="I92" s="1">
        <v>2024</v>
      </c>
      <c r="J92" s="2">
        <v>3</v>
      </c>
      <c r="K92" s="7">
        <v>16335</v>
      </c>
      <c r="L92" s="7">
        <v>45838</v>
      </c>
      <c r="M92" s="7">
        <v>317.52</v>
      </c>
      <c r="N92" s="7">
        <v>4144.82</v>
      </c>
      <c r="O92" s="2">
        <v>2024</v>
      </c>
      <c r="P92" s="1">
        <v>3</v>
      </c>
      <c r="Q92" s="6">
        <v>8700</v>
      </c>
      <c r="R92" s="6">
        <v>39843</v>
      </c>
      <c r="S92" s="6">
        <v>630.98</v>
      </c>
      <c r="T92" s="6">
        <v>5658.5499999999993</v>
      </c>
      <c r="U92" s="1">
        <v>2024</v>
      </c>
      <c r="V92" s="2">
        <v>3</v>
      </c>
      <c r="W92" s="7">
        <v>18698</v>
      </c>
      <c r="X92" s="7">
        <v>63428</v>
      </c>
      <c r="Y92" s="7">
        <v>1715.33</v>
      </c>
      <c r="Z92" s="7">
        <v>6674.9</v>
      </c>
      <c r="AA92" s="2">
        <v>2024</v>
      </c>
      <c r="AB92" s="1">
        <v>3</v>
      </c>
      <c r="AC92" s="6">
        <v>5410</v>
      </c>
      <c r="AD92" s="6">
        <v>15632</v>
      </c>
      <c r="AE92" s="6">
        <v>3296.78</v>
      </c>
      <c r="AF92" s="6">
        <v>3930.3700000000003</v>
      </c>
      <c r="AG92" s="1">
        <v>2024</v>
      </c>
      <c r="AH92" s="2">
        <v>3</v>
      </c>
      <c r="AI92" s="7">
        <v>6845</v>
      </c>
      <c r="AJ92" s="7">
        <v>29834</v>
      </c>
      <c r="AK92" s="7">
        <v>2811.72</v>
      </c>
      <c r="AL92" s="7">
        <v>2843.4399999999996</v>
      </c>
      <c r="AM92" s="2">
        <v>2024</v>
      </c>
      <c r="AN92" s="1">
        <v>3</v>
      </c>
      <c r="AO92" s="6">
        <v>5416</v>
      </c>
      <c r="AP92" s="6">
        <v>12179</v>
      </c>
      <c r="AQ92" s="6">
        <v>4621.47</v>
      </c>
      <c r="AR92" s="6">
        <v>7663.59</v>
      </c>
      <c r="AS92" s="1">
        <v>2024</v>
      </c>
      <c r="AT92" s="2">
        <v>3</v>
      </c>
      <c r="AU92" s="7">
        <v>7209</v>
      </c>
      <c r="AV92" s="7">
        <v>12806</v>
      </c>
      <c r="AW92" s="7">
        <v>0</v>
      </c>
      <c r="AX92" s="7">
        <v>0</v>
      </c>
      <c r="AY92" s="2">
        <v>2024</v>
      </c>
      <c r="AZ92" s="1">
        <v>3</v>
      </c>
      <c r="BA92" s="6">
        <v>4039</v>
      </c>
      <c r="BB92" s="6">
        <v>13375</v>
      </c>
      <c r="BC92" s="4">
        <v>0</v>
      </c>
      <c r="BD92" s="4">
        <v>0</v>
      </c>
      <c r="BE92" s="1">
        <v>2024</v>
      </c>
      <c r="BF92" s="2">
        <v>3</v>
      </c>
      <c r="BG92" s="5">
        <f t="shared" si="4"/>
        <v>81893</v>
      </c>
      <c r="BH92" s="5">
        <f t="shared" si="4"/>
        <v>268274</v>
      </c>
      <c r="BI92" s="5">
        <f t="shared" si="4"/>
        <v>15056.240000000002</v>
      </c>
      <c r="BJ92" s="5">
        <f t="shared" si="3"/>
        <v>40568.19</v>
      </c>
      <c r="BK92" s="2">
        <v>2024</v>
      </c>
    </row>
    <row r="93" spans="3:63" outlineLevel="1" x14ac:dyDescent="0.35">
      <c r="C93" s="3">
        <v>45383</v>
      </c>
      <c r="D93" s="1">
        <v>4</v>
      </c>
      <c r="E93" s="6">
        <v>10631</v>
      </c>
      <c r="F93" s="6">
        <v>45970</v>
      </c>
      <c r="G93" s="6">
        <v>1773.6599999999999</v>
      </c>
      <c r="H93" s="6">
        <v>11426.18</v>
      </c>
      <c r="I93" s="1">
        <v>2024</v>
      </c>
      <c r="J93" s="2">
        <v>4</v>
      </c>
      <c r="K93" s="7">
        <v>14401</v>
      </c>
      <c r="L93" s="7">
        <v>60239</v>
      </c>
      <c r="M93" s="7">
        <v>5702.86</v>
      </c>
      <c r="N93" s="7">
        <v>9847.68</v>
      </c>
      <c r="O93" s="2">
        <v>2024</v>
      </c>
      <c r="P93" s="1">
        <v>4</v>
      </c>
      <c r="Q93" s="6">
        <v>5717</v>
      </c>
      <c r="R93" s="6">
        <v>45560</v>
      </c>
      <c r="S93" s="6">
        <v>4825.2800000000007</v>
      </c>
      <c r="T93" s="6">
        <v>10483.83</v>
      </c>
      <c r="U93" s="1">
        <v>2024</v>
      </c>
      <c r="V93" s="2">
        <v>4</v>
      </c>
      <c r="W93" s="7">
        <v>17762</v>
      </c>
      <c r="X93" s="7">
        <v>81190</v>
      </c>
      <c r="Y93" s="7">
        <v>2352.4700000000003</v>
      </c>
      <c r="Z93" s="7">
        <v>9027.369999999999</v>
      </c>
      <c r="AA93" s="2">
        <v>2024</v>
      </c>
      <c r="AB93" s="1">
        <v>4</v>
      </c>
      <c r="AC93" s="6">
        <v>5653</v>
      </c>
      <c r="AD93" s="6">
        <v>21285</v>
      </c>
      <c r="AE93" s="6">
        <v>469.09</v>
      </c>
      <c r="AF93" s="6">
        <v>4399.46</v>
      </c>
      <c r="AG93" s="1">
        <v>2024</v>
      </c>
      <c r="AH93" s="2">
        <v>4</v>
      </c>
      <c r="AI93" s="7">
        <v>8812</v>
      </c>
      <c r="AJ93" s="7">
        <v>38646</v>
      </c>
      <c r="AK93" s="7">
        <v>1596.07</v>
      </c>
      <c r="AL93" s="7">
        <v>4439.5099999999993</v>
      </c>
      <c r="AM93" s="2">
        <v>2024</v>
      </c>
      <c r="AN93" s="1">
        <v>4</v>
      </c>
      <c r="AO93" s="6">
        <v>14893</v>
      </c>
      <c r="AP93" s="6">
        <v>27072</v>
      </c>
      <c r="AQ93" s="6">
        <v>9107.7099999999991</v>
      </c>
      <c r="AR93" s="6">
        <v>16771.3</v>
      </c>
      <c r="AS93" s="1">
        <v>2024</v>
      </c>
      <c r="AT93" s="2">
        <v>4</v>
      </c>
      <c r="AU93" s="7">
        <v>15057</v>
      </c>
      <c r="AV93" s="7">
        <v>27863</v>
      </c>
      <c r="AW93" s="7">
        <v>0</v>
      </c>
      <c r="AX93" s="7">
        <v>0</v>
      </c>
      <c r="AY93" s="2">
        <v>2024</v>
      </c>
      <c r="AZ93" s="1">
        <v>4</v>
      </c>
      <c r="BA93" s="6">
        <v>4511</v>
      </c>
      <c r="BB93" s="6">
        <v>17886</v>
      </c>
      <c r="BC93" s="4">
        <v>0</v>
      </c>
      <c r="BD93" s="4">
        <v>0</v>
      </c>
      <c r="BE93" s="1">
        <v>2024</v>
      </c>
      <c r="BF93" s="2">
        <v>4</v>
      </c>
      <c r="BG93" s="5">
        <f t="shared" si="4"/>
        <v>97437</v>
      </c>
      <c r="BH93" s="5">
        <f t="shared" si="4"/>
        <v>365711</v>
      </c>
      <c r="BI93" s="5">
        <f t="shared" si="4"/>
        <v>25827.14</v>
      </c>
      <c r="BJ93" s="5">
        <f t="shared" si="3"/>
        <v>66395.33</v>
      </c>
      <c r="BK93" s="2">
        <v>2024</v>
      </c>
    </row>
    <row r="94" spans="3:63" outlineLevel="1" x14ac:dyDescent="0.35">
      <c r="C94" s="3">
        <v>45413</v>
      </c>
      <c r="D94" s="1">
        <v>5</v>
      </c>
      <c r="E94" s="6">
        <v>17127</v>
      </c>
      <c r="F94" s="6">
        <v>63097</v>
      </c>
      <c r="G94" s="6">
        <v>14888.51</v>
      </c>
      <c r="H94" s="6">
        <v>26314.690000000002</v>
      </c>
      <c r="I94" s="1">
        <v>2024</v>
      </c>
      <c r="J94" s="2">
        <v>5</v>
      </c>
      <c r="K94" s="7">
        <v>21777</v>
      </c>
      <c r="L94" s="7">
        <v>82016</v>
      </c>
      <c r="M94" s="7">
        <v>16089.15</v>
      </c>
      <c r="N94" s="7">
        <v>25936.83</v>
      </c>
      <c r="O94" s="2">
        <v>2024</v>
      </c>
      <c r="P94" s="1">
        <v>5</v>
      </c>
      <c r="Q94" s="6">
        <v>6607</v>
      </c>
      <c r="R94" s="6">
        <v>52167</v>
      </c>
      <c r="S94" s="6">
        <v>4899.74</v>
      </c>
      <c r="T94" s="6">
        <v>15383.57</v>
      </c>
      <c r="U94" s="1">
        <v>2024</v>
      </c>
      <c r="V94" s="2">
        <v>5</v>
      </c>
      <c r="W94" s="7">
        <v>16061</v>
      </c>
      <c r="X94" s="7">
        <v>97251</v>
      </c>
      <c r="Y94" s="7">
        <v>19291.89</v>
      </c>
      <c r="Z94" s="7">
        <v>28319.26</v>
      </c>
      <c r="AA94" s="2">
        <v>2024</v>
      </c>
      <c r="AB94" s="1">
        <v>5</v>
      </c>
      <c r="AC94" s="6">
        <v>5247</v>
      </c>
      <c r="AD94" s="6">
        <v>26532</v>
      </c>
      <c r="AE94" s="6">
        <v>650.27</v>
      </c>
      <c r="AF94" s="6">
        <v>5049.7299999999996</v>
      </c>
      <c r="AG94" s="1">
        <v>2024</v>
      </c>
      <c r="AH94" s="2">
        <v>5</v>
      </c>
      <c r="AI94" s="7">
        <v>17008</v>
      </c>
      <c r="AJ94" s="7">
        <v>55654</v>
      </c>
      <c r="AK94" s="7">
        <v>11683.02</v>
      </c>
      <c r="AL94" s="7">
        <v>16122.529999999999</v>
      </c>
      <c r="AM94" s="2">
        <v>2024</v>
      </c>
      <c r="AN94" s="1">
        <v>5</v>
      </c>
      <c r="AO94" s="6">
        <v>18629</v>
      </c>
      <c r="AP94" s="6">
        <v>45701</v>
      </c>
      <c r="AQ94" s="6">
        <v>5653.84</v>
      </c>
      <c r="AR94" s="6">
        <v>22425.14</v>
      </c>
      <c r="AS94" s="1">
        <v>2024</v>
      </c>
      <c r="AT94" s="2">
        <v>5</v>
      </c>
      <c r="AU94" s="7">
        <v>14598</v>
      </c>
      <c r="AV94" s="7">
        <v>42461</v>
      </c>
      <c r="AW94" s="7">
        <v>0</v>
      </c>
      <c r="AX94" s="7">
        <v>0</v>
      </c>
      <c r="AY94" s="2">
        <v>2024</v>
      </c>
      <c r="AZ94" s="1">
        <v>5</v>
      </c>
      <c r="BA94" s="6">
        <v>3425</v>
      </c>
      <c r="BB94" s="6">
        <v>21311</v>
      </c>
      <c r="BC94" s="4">
        <v>0</v>
      </c>
      <c r="BD94" s="4">
        <v>0</v>
      </c>
      <c r="BE94" s="1">
        <v>2024</v>
      </c>
      <c r="BF94" s="2">
        <v>5</v>
      </c>
      <c r="BG94" s="5">
        <f t="shared" si="4"/>
        <v>120479</v>
      </c>
      <c r="BH94" s="5">
        <f t="shared" si="4"/>
        <v>486190</v>
      </c>
      <c r="BI94" s="5">
        <f t="shared" si="4"/>
        <v>73156.42</v>
      </c>
      <c r="BJ94" s="5">
        <f t="shared" si="3"/>
        <v>139551.75</v>
      </c>
      <c r="BK94" s="2">
        <v>2024</v>
      </c>
    </row>
    <row r="95" spans="3:63" outlineLevel="1" x14ac:dyDescent="0.35">
      <c r="C95" s="3">
        <v>45444</v>
      </c>
      <c r="D95" s="1">
        <v>6</v>
      </c>
      <c r="E95" s="6">
        <v>13762</v>
      </c>
      <c r="F95" s="6">
        <v>76859</v>
      </c>
      <c r="G95" s="6">
        <v>12237.439999999999</v>
      </c>
      <c r="H95" s="6">
        <v>38552.130000000005</v>
      </c>
      <c r="I95" s="1">
        <v>2024</v>
      </c>
      <c r="J95" s="2">
        <v>6</v>
      </c>
      <c r="K95" s="7">
        <v>16457</v>
      </c>
      <c r="L95" s="7">
        <v>98473</v>
      </c>
      <c r="M95" s="7">
        <v>13691.699999999999</v>
      </c>
      <c r="N95" s="7">
        <v>39628.53</v>
      </c>
      <c r="O95" s="2">
        <v>2024</v>
      </c>
      <c r="P95" s="1">
        <v>6</v>
      </c>
      <c r="Q95" s="6">
        <v>8512</v>
      </c>
      <c r="R95" s="6">
        <v>60679</v>
      </c>
      <c r="S95" s="6">
        <v>5612.41</v>
      </c>
      <c r="T95" s="6">
        <v>20995.98</v>
      </c>
      <c r="U95" s="1">
        <v>2024</v>
      </c>
      <c r="V95" s="2">
        <v>6</v>
      </c>
      <c r="W95" s="7">
        <v>19777</v>
      </c>
      <c r="X95" s="7">
        <v>117028</v>
      </c>
      <c r="Y95" s="7">
        <v>13159.050000000001</v>
      </c>
      <c r="Z95" s="7">
        <v>41478.31</v>
      </c>
      <c r="AA95" s="2">
        <v>2024</v>
      </c>
      <c r="AB95" s="1">
        <v>6</v>
      </c>
      <c r="AC95" s="6">
        <v>8579</v>
      </c>
      <c r="AD95" s="6">
        <v>35111</v>
      </c>
      <c r="AE95" s="6">
        <v>1592.35</v>
      </c>
      <c r="AF95" s="6">
        <v>6642.08</v>
      </c>
      <c r="AG95" s="1">
        <v>2024</v>
      </c>
      <c r="AH95" s="2">
        <v>6</v>
      </c>
      <c r="AI95" s="7">
        <v>9217</v>
      </c>
      <c r="AJ95" s="7">
        <v>64871</v>
      </c>
      <c r="AK95" s="7">
        <v>7668.18</v>
      </c>
      <c r="AL95" s="7">
        <v>23790.71</v>
      </c>
      <c r="AM95" s="2">
        <v>2024</v>
      </c>
      <c r="AN95" s="1">
        <v>6</v>
      </c>
      <c r="AO95" s="6">
        <v>6694</v>
      </c>
      <c r="AP95" s="6">
        <v>52395</v>
      </c>
      <c r="AQ95" s="6">
        <v>4919.0600000000004</v>
      </c>
      <c r="AR95" s="6">
        <v>27344.2</v>
      </c>
      <c r="AS95" s="1">
        <v>2024</v>
      </c>
      <c r="AT95" s="2">
        <v>6</v>
      </c>
      <c r="AU95" s="7">
        <v>5902</v>
      </c>
      <c r="AV95" s="7">
        <v>48363</v>
      </c>
      <c r="AW95" s="7">
        <v>0</v>
      </c>
      <c r="AX95" s="7">
        <v>0</v>
      </c>
      <c r="AY95" s="2">
        <v>2024</v>
      </c>
      <c r="AZ95" s="1">
        <v>6</v>
      </c>
      <c r="BA95" s="6">
        <v>362</v>
      </c>
      <c r="BB95" s="6">
        <v>21673</v>
      </c>
      <c r="BC95" s="4">
        <v>0</v>
      </c>
      <c r="BD95" s="4">
        <v>0</v>
      </c>
      <c r="BE95" s="1">
        <v>2024</v>
      </c>
      <c r="BF95" s="2">
        <v>6</v>
      </c>
      <c r="BG95" s="5">
        <f t="shared" si="4"/>
        <v>89262</v>
      </c>
      <c r="BH95" s="5">
        <f t="shared" si="4"/>
        <v>575452</v>
      </c>
      <c r="BI95" s="5">
        <f t="shared" si="4"/>
        <v>58880.189999999995</v>
      </c>
      <c r="BJ95" s="5">
        <f t="shared" si="3"/>
        <v>198431.94</v>
      </c>
      <c r="BK95" s="2">
        <v>2024</v>
      </c>
    </row>
    <row r="96" spans="3:63" outlineLevel="1" x14ac:dyDescent="0.35">
      <c r="C96" s="3">
        <v>45474</v>
      </c>
      <c r="D96" s="1">
        <v>7</v>
      </c>
      <c r="E96" s="6">
        <v>14361</v>
      </c>
      <c r="F96" s="6">
        <v>91220</v>
      </c>
      <c r="G96" s="6">
        <v>7400.1100000000006</v>
      </c>
      <c r="H96" s="6">
        <v>45952.240000000005</v>
      </c>
      <c r="I96" s="1">
        <v>2024</v>
      </c>
      <c r="J96" s="2">
        <v>7</v>
      </c>
      <c r="K96" s="7">
        <v>10869</v>
      </c>
      <c r="L96" s="7">
        <v>109342</v>
      </c>
      <c r="M96" s="7">
        <v>6783.53</v>
      </c>
      <c r="N96" s="7">
        <v>46412.06</v>
      </c>
      <c r="O96" s="2">
        <v>2024</v>
      </c>
      <c r="P96" s="1">
        <v>7</v>
      </c>
      <c r="Q96" s="6">
        <v>12707</v>
      </c>
      <c r="R96" s="6">
        <v>73386</v>
      </c>
      <c r="S96" s="6">
        <v>3828.19</v>
      </c>
      <c r="T96" s="6">
        <v>24824.17</v>
      </c>
      <c r="U96" s="1">
        <v>2024</v>
      </c>
      <c r="V96" s="2">
        <v>7</v>
      </c>
      <c r="W96" s="7">
        <v>23816</v>
      </c>
      <c r="X96" s="7">
        <v>140844</v>
      </c>
      <c r="Y96" s="7">
        <v>12662.88</v>
      </c>
      <c r="Z96" s="7">
        <v>54141.189999999995</v>
      </c>
      <c r="AA96" s="2">
        <v>2024</v>
      </c>
      <c r="AB96" s="1">
        <v>7</v>
      </c>
      <c r="AC96" s="6">
        <v>6300</v>
      </c>
      <c r="AD96" s="6">
        <v>41411</v>
      </c>
      <c r="AE96" s="6">
        <v>1164.28</v>
      </c>
      <c r="AF96" s="6">
        <v>7806.36</v>
      </c>
      <c r="AG96" s="1">
        <v>2024</v>
      </c>
      <c r="AH96" s="2">
        <v>7</v>
      </c>
      <c r="AI96" s="7">
        <v>16684</v>
      </c>
      <c r="AJ96" s="7">
        <v>81555</v>
      </c>
      <c r="AK96" s="7">
        <v>21367.59</v>
      </c>
      <c r="AL96" s="7">
        <v>45158.3</v>
      </c>
      <c r="AM96" s="2">
        <v>2024</v>
      </c>
      <c r="AN96" s="1">
        <v>7</v>
      </c>
      <c r="AO96" s="6">
        <v>13233</v>
      </c>
      <c r="AP96" s="6">
        <v>65628</v>
      </c>
      <c r="AQ96" s="6">
        <v>7102.66</v>
      </c>
      <c r="AR96" s="6">
        <v>34446.86</v>
      </c>
      <c r="AS96" s="1">
        <v>2024</v>
      </c>
      <c r="AT96" s="2">
        <v>7</v>
      </c>
      <c r="AU96" s="7">
        <v>15890</v>
      </c>
      <c r="AV96" s="7">
        <v>64253</v>
      </c>
      <c r="AW96" s="7">
        <v>0</v>
      </c>
      <c r="AX96" s="7">
        <v>0</v>
      </c>
      <c r="AY96" s="2">
        <v>2024</v>
      </c>
      <c r="AZ96" s="1">
        <v>7</v>
      </c>
      <c r="BA96" s="6">
        <v>-66</v>
      </c>
      <c r="BB96" s="6">
        <v>21607</v>
      </c>
      <c r="BC96" s="4">
        <v>0</v>
      </c>
      <c r="BD96" s="4">
        <v>0</v>
      </c>
      <c r="BE96" s="1">
        <v>2024</v>
      </c>
      <c r="BF96" s="2">
        <v>7</v>
      </c>
      <c r="BG96" s="5">
        <f t="shared" si="4"/>
        <v>113794</v>
      </c>
      <c r="BH96" s="5">
        <f t="shared" si="4"/>
        <v>689246</v>
      </c>
      <c r="BI96" s="5">
        <f t="shared" si="4"/>
        <v>60309.240000000005</v>
      </c>
      <c r="BJ96" s="5">
        <f t="shared" si="3"/>
        <v>258741.18</v>
      </c>
      <c r="BK96" s="2">
        <v>2024</v>
      </c>
    </row>
    <row r="97" spans="3:63" outlineLevel="1" x14ac:dyDescent="0.35">
      <c r="C97" s="3">
        <v>45505</v>
      </c>
      <c r="D97" s="1">
        <v>8</v>
      </c>
      <c r="E97" s="6">
        <v>8699</v>
      </c>
      <c r="F97" s="6">
        <v>99919</v>
      </c>
      <c r="G97" s="6">
        <v>7996.9000000000005</v>
      </c>
      <c r="H97" s="6">
        <v>53949.140000000007</v>
      </c>
      <c r="I97" s="1">
        <v>2024</v>
      </c>
      <c r="J97" s="2">
        <v>8</v>
      </c>
      <c r="K97" s="7">
        <v>2572</v>
      </c>
      <c r="L97" s="7">
        <v>111914</v>
      </c>
      <c r="M97" s="7">
        <v>3783.4500000000003</v>
      </c>
      <c r="N97" s="7">
        <v>50195.509999999995</v>
      </c>
      <c r="O97" s="2">
        <v>2024</v>
      </c>
      <c r="P97" s="1">
        <v>8</v>
      </c>
      <c r="Q97" s="6">
        <v>135</v>
      </c>
      <c r="R97" s="6">
        <v>73521</v>
      </c>
      <c r="S97" s="6">
        <v>1495.33</v>
      </c>
      <c r="T97" s="6">
        <v>26319.5</v>
      </c>
      <c r="U97" s="1">
        <v>2024</v>
      </c>
      <c r="V97" s="2">
        <v>8</v>
      </c>
      <c r="W97" s="7">
        <v>17746</v>
      </c>
      <c r="X97" s="7">
        <v>158590</v>
      </c>
      <c r="Y97" s="7">
        <v>9219.1</v>
      </c>
      <c r="Z97" s="7">
        <v>63360.289999999994</v>
      </c>
      <c r="AA97" s="2">
        <v>2024</v>
      </c>
      <c r="AB97" s="1">
        <v>8</v>
      </c>
      <c r="AC97" s="6">
        <v>4285</v>
      </c>
      <c r="AD97" s="6">
        <v>45696</v>
      </c>
      <c r="AE97" s="6">
        <v>1528.44</v>
      </c>
      <c r="AF97" s="6">
        <v>9334.7999999999993</v>
      </c>
      <c r="AG97" s="1">
        <v>2024</v>
      </c>
      <c r="AH97" s="2">
        <v>8</v>
      </c>
      <c r="AI97" s="7">
        <v>13125</v>
      </c>
      <c r="AJ97" s="7">
        <v>94680</v>
      </c>
      <c r="AK97" s="7">
        <v>12072.84</v>
      </c>
      <c r="AL97" s="7">
        <v>57231.14</v>
      </c>
      <c r="AM97" s="2">
        <v>2024</v>
      </c>
      <c r="AN97" s="1">
        <v>8</v>
      </c>
      <c r="AO97" s="6">
        <v>8067</v>
      </c>
      <c r="AP97" s="6">
        <v>73695</v>
      </c>
      <c r="AQ97" s="6">
        <v>1392.76</v>
      </c>
      <c r="AR97" s="6">
        <v>35839.620000000003</v>
      </c>
      <c r="AS97" s="1">
        <v>2024</v>
      </c>
      <c r="AT97" s="2">
        <v>8</v>
      </c>
      <c r="AU97" s="7">
        <v>11309</v>
      </c>
      <c r="AV97" s="7">
        <v>75562</v>
      </c>
      <c r="AW97" s="7">
        <v>0</v>
      </c>
      <c r="AX97" s="7">
        <v>0</v>
      </c>
      <c r="AY97" s="2">
        <v>2024</v>
      </c>
      <c r="AZ97" s="1">
        <v>8</v>
      </c>
      <c r="BA97" s="6">
        <v>9</v>
      </c>
      <c r="BB97" s="6">
        <v>21616</v>
      </c>
      <c r="BC97" s="4">
        <v>0</v>
      </c>
      <c r="BD97" s="4">
        <v>0</v>
      </c>
      <c r="BE97" s="1">
        <v>2024</v>
      </c>
      <c r="BF97" s="2">
        <v>8</v>
      </c>
      <c r="BG97" s="5">
        <f t="shared" si="4"/>
        <v>65947</v>
      </c>
      <c r="BH97" s="5">
        <f t="shared" si="4"/>
        <v>755193</v>
      </c>
      <c r="BI97" s="5">
        <f t="shared" si="4"/>
        <v>37488.82</v>
      </c>
      <c r="BJ97" s="5">
        <f t="shared" si="3"/>
        <v>296230</v>
      </c>
      <c r="BK97" s="2">
        <v>2024</v>
      </c>
    </row>
    <row r="98" spans="3:63" outlineLevel="1" x14ac:dyDescent="0.35">
      <c r="C98" s="3">
        <v>45536</v>
      </c>
      <c r="D98" s="1">
        <v>9</v>
      </c>
      <c r="E98" s="6">
        <v>5325</v>
      </c>
      <c r="F98" s="6">
        <v>105244</v>
      </c>
      <c r="G98" s="6">
        <v>9689.01</v>
      </c>
      <c r="H98" s="6">
        <v>63638.150000000009</v>
      </c>
      <c r="I98" s="1">
        <v>2024</v>
      </c>
      <c r="J98" s="2">
        <v>9</v>
      </c>
      <c r="K98" s="7">
        <v>4159</v>
      </c>
      <c r="L98" s="7">
        <v>116073</v>
      </c>
      <c r="M98" s="7">
        <v>6276.05</v>
      </c>
      <c r="N98" s="7">
        <v>56471.56</v>
      </c>
      <c r="O98" s="2">
        <v>2024</v>
      </c>
      <c r="P98" s="1">
        <v>9</v>
      </c>
      <c r="Q98" s="6">
        <v>4542</v>
      </c>
      <c r="R98" s="6">
        <v>78063</v>
      </c>
      <c r="S98" s="6">
        <v>3229.24</v>
      </c>
      <c r="T98" s="6">
        <v>29548.739999999998</v>
      </c>
      <c r="U98" s="1">
        <v>2024</v>
      </c>
      <c r="V98" s="2">
        <v>9</v>
      </c>
      <c r="W98" s="7">
        <v>9650</v>
      </c>
      <c r="X98" s="7">
        <v>168240</v>
      </c>
      <c r="Y98" s="7">
        <v>4195.53</v>
      </c>
      <c r="Z98" s="7">
        <v>67555.819999999992</v>
      </c>
      <c r="AA98" s="2">
        <v>2024</v>
      </c>
      <c r="AB98" s="1">
        <v>9</v>
      </c>
      <c r="AC98" s="6">
        <v>2184</v>
      </c>
      <c r="AD98" s="6">
        <v>47880</v>
      </c>
      <c r="AE98" s="6">
        <v>59.19</v>
      </c>
      <c r="AF98" s="6">
        <v>9393.99</v>
      </c>
      <c r="AG98" s="1">
        <v>2024</v>
      </c>
      <c r="AH98" s="2">
        <v>9</v>
      </c>
      <c r="AI98" s="7">
        <v>5374</v>
      </c>
      <c r="AJ98" s="7">
        <v>100054</v>
      </c>
      <c r="AK98" s="7">
        <v>5688.17</v>
      </c>
      <c r="AL98" s="7">
        <v>62919.31</v>
      </c>
      <c r="AM98" s="2">
        <v>2024</v>
      </c>
      <c r="AN98" s="1">
        <v>9</v>
      </c>
      <c r="AO98" s="6">
        <v>7672</v>
      </c>
      <c r="AP98" s="6">
        <v>81367</v>
      </c>
      <c r="AQ98" s="6">
        <v>5236.07</v>
      </c>
      <c r="AR98" s="6">
        <v>41075.69</v>
      </c>
      <c r="AS98" s="1">
        <v>2024</v>
      </c>
      <c r="AT98" s="2">
        <v>9</v>
      </c>
      <c r="AU98" s="7">
        <v>3822</v>
      </c>
      <c r="AV98" s="7">
        <v>79384</v>
      </c>
      <c r="AW98" s="7">
        <v>0</v>
      </c>
      <c r="AX98" s="7">
        <v>0</v>
      </c>
      <c r="AY98" s="2">
        <v>2024</v>
      </c>
      <c r="AZ98" s="1">
        <v>9</v>
      </c>
      <c r="BA98" s="6">
        <v>10</v>
      </c>
      <c r="BB98" s="6">
        <v>21626</v>
      </c>
      <c r="BC98" s="6">
        <v>0</v>
      </c>
      <c r="BD98" s="6">
        <v>0</v>
      </c>
      <c r="BE98" s="1">
        <v>2024</v>
      </c>
      <c r="BF98" s="2">
        <v>9</v>
      </c>
      <c r="BG98" s="5">
        <f t="shared" si="4"/>
        <v>42738</v>
      </c>
      <c r="BH98" s="5">
        <f t="shared" si="4"/>
        <v>797931</v>
      </c>
      <c r="BI98" s="5">
        <f t="shared" si="4"/>
        <v>34373.26</v>
      </c>
      <c r="BJ98" s="5">
        <f t="shared" si="3"/>
        <v>330603.26</v>
      </c>
      <c r="BK98" s="2">
        <v>2024</v>
      </c>
    </row>
    <row r="99" spans="3:63" outlineLevel="1" x14ac:dyDescent="0.35">
      <c r="C99" s="3">
        <v>45566</v>
      </c>
      <c r="D99" s="1">
        <v>10</v>
      </c>
      <c r="E99" s="6">
        <v>3694</v>
      </c>
      <c r="F99" s="6">
        <v>108938</v>
      </c>
      <c r="G99" s="6">
        <v>11736.08</v>
      </c>
      <c r="H99" s="6">
        <v>75374.23000000001</v>
      </c>
      <c r="I99" s="1">
        <v>2024</v>
      </c>
      <c r="J99" s="2">
        <v>10</v>
      </c>
      <c r="K99" s="7">
        <v>8833</v>
      </c>
      <c r="L99" s="7">
        <v>124906</v>
      </c>
      <c r="M99" s="7">
        <v>11289.86</v>
      </c>
      <c r="N99" s="7">
        <v>67761.42</v>
      </c>
      <c r="O99" s="2">
        <v>2024</v>
      </c>
      <c r="P99" s="1">
        <v>10</v>
      </c>
      <c r="Q99" s="6">
        <v>1538</v>
      </c>
      <c r="R99" s="6">
        <v>79601</v>
      </c>
      <c r="S99" s="6">
        <v>895.5</v>
      </c>
      <c r="T99" s="6">
        <v>30444.239999999998</v>
      </c>
      <c r="U99" s="1">
        <v>2024</v>
      </c>
      <c r="V99" s="2">
        <v>10</v>
      </c>
      <c r="W99" s="7">
        <v>5243</v>
      </c>
      <c r="X99" s="7">
        <v>173483</v>
      </c>
      <c r="Y99" s="7">
        <v>6107.06</v>
      </c>
      <c r="Z99" s="7">
        <v>73662.87999999999</v>
      </c>
      <c r="AA99" s="2">
        <v>2024</v>
      </c>
      <c r="AB99" s="1">
        <v>10</v>
      </c>
      <c r="AC99" s="6">
        <v>4778</v>
      </c>
      <c r="AD99" s="6">
        <v>52658</v>
      </c>
      <c r="AE99" s="6">
        <v>0</v>
      </c>
      <c r="AF99" s="6">
        <v>9393.99</v>
      </c>
      <c r="AG99" s="1">
        <v>2024</v>
      </c>
      <c r="AH99" s="2">
        <v>10</v>
      </c>
      <c r="AI99" s="7">
        <v>3084</v>
      </c>
      <c r="AJ99" s="7">
        <v>103138</v>
      </c>
      <c r="AK99" s="7">
        <v>4016.44</v>
      </c>
      <c r="AL99" s="7">
        <v>66935.75</v>
      </c>
      <c r="AM99" s="2">
        <v>2024</v>
      </c>
      <c r="AN99" s="1">
        <v>10</v>
      </c>
      <c r="AO99" s="6">
        <v>6410</v>
      </c>
      <c r="AP99" s="6">
        <v>87777</v>
      </c>
      <c r="AQ99" s="6">
        <v>6868.5499999999993</v>
      </c>
      <c r="AR99" s="6">
        <v>47944.240000000005</v>
      </c>
      <c r="AS99" s="1">
        <v>2024</v>
      </c>
      <c r="AT99" s="2">
        <v>10</v>
      </c>
      <c r="AU99" s="7">
        <v>1736</v>
      </c>
      <c r="AV99" s="7">
        <v>81120</v>
      </c>
      <c r="AW99" s="7">
        <v>0</v>
      </c>
      <c r="AX99" s="7">
        <v>0</v>
      </c>
      <c r="AY99" s="2">
        <v>2024</v>
      </c>
      <c r="AZ99" s="1">
        <v>10</v>
      </c>
      <c r="BA99" s="6">
        <v>36</v>
      </c>
      <c r="BB99" s="6">
        <v>21662</v>
      </c>
      <c r="BC99" s="6">
        <v>0</v>
      </c>
      <c r="BD99" s="6">
        <v>0</v>
      </c>
      <c r="BE99" s="1">
        <v>2024</v>
      </c>
      <c r="BF99" s="2">
        <v>10</v>
      </c>
      <c r="BG99" s="5">
        <f t="shared" si="4"/>
        <v>35352</v>
      </c>
      <c r="BH99" s="5">
        <f t="shared" si="4"/>
        <v>833283</v>
      </c>
      <c r="BI99" s="5">
        <f t="shared" si="4"/>
        <v>40913.490000000005</v>
      </c>
      <c r="BJ99" s="5">
        <f t="shared" si="3"/>
        <v>371516.75</v>
      </c>
      <c r="BK99" s="2">
        <v>2024</v>
      </c>
    </row>
    <row r="100" spans="3:63" outlineLevel="1" x14ac:dyDescent="0.35">
      <c r="C100" s="3">
        <v>45597</v>
      </c>
      <c r="D100" s="1">
        <v>11</v>
      </c>
      <c r="E100" s="6">
        <v>16446</v>
      </c>
      <c r="F100" s="6">
        <v>125384</v>
      </c>
      <c r="G100" s="6">
        <v>3594.5600000000004</v>
      </c>
      <c r="H100" s="6">
        <v>78968.790000000008</v>
      </c>
      <c r="I100" s="1">
        <v>2024</v>
      </c>
      <c r="J100" s="2">
        <v>11</v>
      </c>
      <c r="K100" s="7">
        <v>10701</v>
      </c>
      <c r="L100" s="7">
        <v>135607</v>
      </c>
      <c r="M100" s="7">
        <v>7650.63</v>
      </c>
      <c r="N100" s="7">
        <v>75412.05</v>
      </c>
      <c r="O100" s="2">
        <v>2024</v>
      </c>
      <c r="P100" s="1">
        <v>11</v>
      </c>
      <c r="Q100" s="6">
        <v>4809</v>
      </c>
      <c r="R100" s="6">
        <v>84410</v>
      </c>
      <c r="S100" s="6">
        <v>4741.7700000000004</v>
      </c>
      <c r="T100" s="6">
        <v>35186.009999999995</v>
      </c>
      <c r="U100" s="1">
        <v>2024</v>
      </c>
      <c r="V100" s="2">
        <v>11</v>
      </c>
      <c r="W100" s="7">
        <v>5068</v>
      </c>
      <c r="X100" s="7">
        <v>178551</v>
      </c>
      <c r="Y100" s="7">
        <v>6003.4600000000009</v>
      </c>
      <c r="Z100" s="7">
        <v>79666.34</v>
      </c>
      <c r="AA100" s="2">
        <v>2024</v>
      </c>
      <c r="AB100" s="1">
        <v>11</v>
      </c>
      <c r="AC100" s="6">
        <v>4139</v>
      </c>
      <c r="AD100" s="6">
        <v>56797</v>
      </c>
      <c r="AE100" s="6">
        <v>152.91</v>
      </c>
      <c r="AF100" s="6">
        <v>9546.9</v>
      </c>
      <c r="AG100" s="1">
        <v>2024</v>
      </c>
      <c r="AH100" s="2">
        <v>11</v>
      </c>
      <c r="AI100" s="7">
        <v>261</v>
      </c>
      <c r="AJ100" s="7">
        <v>103399</v>
      </c>
      <c r="AK100" s="7">
        <v>5044.22</v>
      </c>
      <c r="AL100" s="7">
        <v>71979.97</v>
      </c>
      <c r="AM100" s="2">
        <v>2024</v>
      </c>
      <c r="AN100" s="1">
        <v>11</v>
      </c>
      <c r="AO100" s="6">
        <v>8189</v>
      </c>
      <c r="AP100" s="6">
        <v>95966</v>
      </c>
      <c r="AQ100" s="6">
        <v>6019.87</v>
      </c>
      <c r="AR100" s="6">
        <v>53964.110000000008</v>
      </c>
      <c r="AS100" s="1">
        <v>2024</v>
      </c>
      <c r="AT100" s="2">
        <v>11</v>
      </c>
      <c r="AU100" s="7">
        <v>2720</v>
      </c>
      <c r="AV100" s="7">
        <v>83840</v>
      </c>
      <c r="AW100" s="7">
        <v>0</v>
      </c>
      <c r="AX100" s="7">
        <v>0</v>
      </c>
      <c r="AY100" s="2">
        <v>2024</v>
      </c>
      <c r="AZ100" s="1">
        <v>11</v>
      </c>
      <c r="BA100" s="6">
        <v>2243</v>
      </c>
      <c r="BB100" s="6">
        <v>23905</v>
      </c>
      <c r="BC100" s="6">
        <v>0</v>
      </c>
      <c r="BD100" s="6">
        <v>0</v>
      </c>
      <c r="BE100" s="1">
        <v>2024</v>
      </c>
      <c r="BF100" s="2">
        <v>11</v>
      </c>
      <c r="BG100" s="5">
        <f t="shared" si="4"/>
        <v>54576</v>
      </c>
      <c r="BH100" s="5">
        <f t="shared" si="4"/>
        <v>887859</v>
      </c>
      <c r="BI100" s="5">
        <f t="shared" si="4"/>
        <v>33207.420000000006</v>
      </c>
      <c r="BJ100" s="5">
        <f t="shared" si="3"/>
        <v>404724.17000000004</v>
      </c>
      <c r="BK100" s="2">
        <v>2024</v>
      </c>
    </row>
    <row r="101" spans="3:63" outlineLevel="1" x14ac:dyDescent="0.35">
      <c r="C101" s="3">
        <v>45627</v>
      </c>
      <c r="D101" s="1">
        <v>12</v>
      </c>
      <c r="E101" s="6">
        <v>6212</v>
      </c>
      <c r="F101" s="6">
        <v>131596</v>
      </c>
      <c r="G101" s="6">
        <v>6064.24</v>
      </c>
      <c r="H101" s="6">
        <v>85033.030000000013</v>
      </c>
      <c r="I101" s="1">
        <v>2024</v>
      </c>
      <c r="J101" s="2">
        <v>12</v>
      </c>
      <c r="K101" s="7">
        <v>10623</v>
      </c>
      <c r="L101" s="7">
        <v>146230</v>
      </c>
      <c r="M101" s="7">
        <v>7004.74</v>
      </c>
      <c r="N101" s="7">
        <v>82416.790000000008</v>
      </c>
      <c r="O101" s="2">
        <v>2024</v>
      </c>
      <c r="P101" s="1">
        <v>12</v>
      </c>
      <c r="Q101" s="6">
        <v>6445</v>
      </c>
      <c r="R101" s="6">
        <v>90855</v>
      </c>
      <c r="S101" s="6">
        <v>6112.98</v>
      </c>
      <c r="T101" s="6">
        <v>41298.989999999991</v>
      </c>
      <c r="U101" s="1">
        <v>2024</v>
      </c>
      <c r="V101" s="2">
        <v>12</v>
      </c>
      <c r="W101" s="7">
        <v>3311</v>
      </c>
      <c r="X101" s="7">
        <v>181862</v>
      </c>
      <c r="Y101" s="7">
        <v>4653.5199999999995</v>
      </c>
      <c r="Z101" s="7">
        <v>84319.86</v>
      </c>
      <c r="AA101" s="2">
        <v>2024</v>
      </c>
      <c r="AB101" s="1">
        <v>12</v>
      </c>
      <c r="AC101" s="6">
        <v>6502</v>
      </c>
      <c r="AD101" s="6">
        <v>63299</v>
      </c>
      <c r="AE101" s="6">
        <v>3405.54</v>
      </c>
      <c r="AF101" s="6">
        <v>12952.439999999999</v>
      </c>
      <c r="AG101" s="1">
        <v>2024</v>
      </c>
      <c r="AH101" s="2">
        <v>12</v>
      </c>
      <c r="AI101" s="7">
        <v>15690</v>
      </c>
      <c r="AJ101" s="7">
        <v>119089</v>
      </c>
      <c r="AK101" s="7">
        <v>10930.71</v>
      </c>
      <c r="AL101" s="7">
        <v>82910.679999999993</v>
      </c>
      <c r="AM101" s="2">
        <v>2024</v>
      </c>
      <c r="AN101" s="1">
        <v>12</v>
      </c>
      <c r="AO101" s="6">
        <v>9032</v>
      </c>
      <c r="AP101" s="6">
        <v>104998</v>
      </c>
      <c r="AQ101" s="6">
        <v>3831.6000000000004</v>
      </c>
      <c r="AR101" s="6">
        <v>57795.710000000006</v>
      </c>
      <c r="AS101" s="1">
        <v>2024</v>
      </c>
      <c r="AT101" s="2">
        <v>12</v>
      </c>
      <c r="AU101" s="7">
        <v>7308</v>
      </c>
      <c r="AV101" s="7">
        <v>91148</v>
      </c>
      <c r="AW101" s="7">
        <v>0</v>
      </c>
      <c r="AX101" s="7">
        <v>0</v>
      </c>
      <c r="AY101" s="2">
        <v>2024</v>
      </c>
      <c r="AZ101" s="1">
        <v>12</v>
      </c>
      <c r="BA101" s="6">
        <v>618</v>
      </c>
      <c r="BB101" s="6">
        <v>24523</v>
      </c>
      <c r="BC101" s="6">
        <v>0</v>
      </c>
      <c r="BD101" s="6">
        <v>0</v>
      </c>
      <c r="BE101" s="1">
        <v>2024</v>
      </c>
      <c r="BF101" s="2">
        <v>12</v>
      </c>
      <c r="BG101" s="5">
        <f t="shared" si="4"/>
        <v>65741</v>
      </c>
      <c r="BH101" s="5">
        <f t="shared" si="4"/>
        <v>953600</v>
      </c>
      <c r="BI101" s="5">
        <f t="shared" si="4"/>
        <v>42003.329999999994</v>
      </c>
      <c r="BJ101" s="5">
        <f t="shared" si="3"/>
        <v>446727.5</v>
      </c>
      <c r="BK101" s="2">
        <v>2024</v>
      </c>
    </row>
    <row r="102" spans="3:63" outlineLevel="1" x14ac:dyDescent="0.35">
      <c r="C102" s="3">
        <v>45658</v>
      </c>
      <c r="D102" s="1">
        <v>1</v>
      </c>
      <c r="E102" s="6">
        <v>22901.489000000001</v>
      </c>
      <c r="F102" s="6">
        <v>22901.489000000001</v>
      </c>
      <c r="G102" s="6">
        <v>4511.18</v>
      </c>
      <c r="H102" s="6">
        <v>4511.18</v>
      </c>
      <c r="I102" s="1">
        <v>2025</v>
      </c>
      <c r="J102" s="2">
        <v>1</v>
      </c>
      <c r="K102" s="7">
        <v>33110.425999999999</v>
      </c>
      <c r="L102" s="7">
        <v>33110.425999999999</v>
      </c>
      <c r="M102" s="7">
        <v>13804.880000000001</v>
      </c>
      <c r="N102" s="7">
        <v>13804.880000000001</v>
      </c>
      <c r="O102" s="2">
        <v>2025</v>
      </c>
      <c r="P102" s="1">
        <v>1</v>
      </c>
      <c r="Q102" s="6">
        <v>26502.480000000003</v>
      </c>
      <c r="R102" s="6">
        <v>26502.480000000003</v>
      </c>
      <c r="S102" s="6">
        <v>3007.02</v>
      </c>
      <c r="T102" s="6">
        <v>3007.02</v>
      </c>
      <c r="U102" s="1">
        <v>2025</v>
      </c>
      <c r="V102" s="2">
        <v>1</v>
      </c>
      <c r="W102" s="7">
        <v>13484.224999999999</v>
      </c>
      <c r="X102" s="7">
        <v>13484.224999999999</v>
      </c>
      <c r="Y102" s="7">
        <v>4937.24</v>
      </c>
      <c r="Z102" s="7">
        <v>4937.24</v>
      </c>
      <c r="AA102" s="2">
        <v>2025</v>
      </c>
      <c r="AB102" s="1">
        <v>1</v>
      </c>
      <c r="AC102" s="6">
        <v>12053.611000000001</v>
      </c>
      <c r="AD102" s="6">
        <v>12053.611000000001</v>
      </c>
      <c r="AE102" s="6">
        <v>387.51</v>
      </c>
      <c r="AF102" s="6">
        <v>387.51</v>
      </c>
      <c r="AG102" s="1">
        <v>2025</v>
      </c>
      <c r="AH102" s="2">
        <v>1</v>
      </c>
      <c r="AI102" s="7">
        <v>41203.745999999999</v>
      </c>
      <c r="AJ102" s="7">
        <v>41203.745999999999</v>
      </c>
      <c r="AK102" s="7">
        <v>8179.33</v>
      </c>
      <c r="AL102" s="7">
        <v>8179.33</v>
      </c>
      <c r="AM102" s="2">
        <v>2025</v>
      </c>
      <c r="AN102" s="1">
        <v>1</v>
      </c>
      <c r="AO102" s="6">
        <v>9086.4480000000003</v>
      </c>
      <c r="AP102" s="6">
        <v>9086.4480000000003</v>
      </c>
      <c r="AQ102" s="6">
        <v>308.76</v>
      </c>
      <c r="AR102" s="6">
        <v>308.76</v>
      </c>
      <c r="AS102" s="1">
        <v>2025</v>
      </c>
      <c r="AT102" s="2">
        <v>1</v>
      </c>
      <c r="AU102" s="7">
        <v>13922.555999999999</v>
      </c>
      <c r="AV102" s="7">
        <v>13922.555999999999</v>
      </c>
      <c r="AW102" s="7">
        <v>0</v>
      </c>
      <c r="AX102" s="7">
        <v>0</v>
      </c>
      <c r="AY102" s="2">
        <v>2025</v>
      </c>
      <c r="AZ102" s="1">
        <v>1</v>
      </c>
      <c r="BA102" s="6">
        <v>1045.1199999999999</v>
      </c>
      <c r="BB102" s="6">
        <v>1045.1199999999999</v>
      </c>
      <c r="BC102" s="6">
        <v>0</v>
      </c>
      <c r="BD102" s="6">
        <v>0</v>
      </c>
      <c r="BE102" s="1">
        <v>2025</v>
      </c>
      <c r="BF102" s="2">
        <v>1</v>
      </c>
      <c r="BG102" s="5">
        <f t="shared" si="4"/>
        <v>173310.10100000002</v>
      </c>
      <c r="BH102" s="5">
        <f t="shared" si="4"/>
        <v>173310.10100000002</v>
      </c>
      <c r="BI102" s="5">
        <f t="shared" si="4"/>
        <v>35135.919999999998</v>
      </c>
      <c r="BJ102" s="5">
        <f t="shared" si="3"/>
        <v>35135.919999999998</v>
      </c>
      <c r="BK102" s="2">
        <v>2025</v>
      </c>
    </row>
    <row r="103" spans="3:63" outlineLevel="1" x14ac:dyDescent="0.35">
      <c r="C103" s="3">
        <v>45689</v>
      </c>
      <c r="D103" s="1">
        <v>2</v>
      </c>
      <c r="E103" s="6">
        <v>10885.321000000004</v>
      </c>
      <c r="F103" s="6">
        <v>33786.810000000005</v>
      </c>
      <c r="G103" s="6">
        <v>5381.75</v>
      </c>
      <c r="H103" s="6">
        <v>9892.93</v>
      </c>
      <c r="I103" s="1">
        <v>2025</v>
      </c>
      <c r="J103" s="2">
        <v>2</v>
      </c>
      <c r="K103" s="7">
        <v>8374.6039999999994</v>
      </c>
      <c r="L103" s="7">
        <v>41485.03</v>
      </c>
      <c r="M103" s="7">
        <v>4306.2299999999996</v>
      </c>
      <c r="N103" s="7">
        <v>18111.11</v>
      </c>
      <c r="O103" s="2">
        <v>2025</v>
      </c>
      <c r="P103" s="1">
        <v>2</v>
      </c>
      <c r="Q103" s="6">
        <v>12473.481999999996</v>
      </c>
      <c r="R103" s="6">
        <v>38975.962</v>
      </c>
      <c r="S103" s="6">
        <v>4881.7099999999991</v>
      </c>
      <c r="T103" s="6">
        <v>7888.73</v>
      </c>
      <c r="U103" s="1">
        <v>2025</v>
      </c>
      <c r="V103" s="2">
        <v>2</v>
      </c>
      <c r="W103" s="7">
        <v>2343.0390000000007</v>
      </c>
      <c r="X103" s="7">
        <v>15827.263999999999</v>
      </c>
      <c r="Y103" s="7">
        <v>3228.74</v>
      </c>
      <c r="Z103" s="7">
        <v>8165.98</v>
      </c>
      <c r="AA103" s="2">
        <v>2025</v>
      </c>
      <c r="AB103" s="1">
        <v>2</v>
      </c>
      <c r="AC103" s="6">
        <v>7301.3570000000036</v>
      </c>
      <c r="AD103" s="6">
        <v>19354.968000000004</v>
      </c>
      <c r="AE103" s="6">
        <v>265.26</v>
      </c>
      <c r="AF103" s="6">
        <v>652.77</v>
      </c>
      <c r="AG103" s="1">
        <v>2025</v>
      </c>
      <c r="AH103" s="2">
        <v>2</v>
      </c>
      <c r="AI103" s="7">
        <v>15238.427000000003</v>
      </c>
      <c r="AJ103" s="7">
        <v>56442.173000000003</v>
      </c>
      <c r="AK103" s="7">
        <v>9354.7900000000027</v>
      </c>
      <c r="AL103" s="7">
        <v>17534.120000000003</v>
      </c>
      <c r="AM103" s="2">
        <v>2025</v>
      </c>
      <c r="AN103" s="1">
        <v>2</v>
      </c>
      <c r="AO103" s="6">
        <v>6639.3499999999985</v>
      </c>
      <c r="AP103" s="6">
        <v>15725.797999999999</v>
      </c>
      <c r="AQ103" s="6">
        <v>3828.13</v>
      </c>
      <c r="AR103" s="6">
        <v>4136.8900000000003</v>
      </c>
      <c r="AS103" s="1">
        <v>2025</v>
      </c>
      <c r="AT103" s="2">
        <v>2</v>
      </c>
      <c r="AU103" s="7">
        <v>5288.0320000000011</v>
      </c>
      <c r="AV103" s="7">
        <v>19210.588</v>
      </c>
      <c r="AW103" s="7">
        <v>0</v>
      </c>
      <c r="AX103" s="7">
        <v>0</v>
      </c>
      <c r="AY103" s="2">
        <v>2025</v>
      </c>
      <c r="AZ103" s="1">
        <v>2</v>
      </c>
      <c r="BA103" s="6">
        <v>1644.393</v>
      </c>
      <c r="BB103" s="6">
        <v>2689.5129999999999</v>
      </c>
      <c r="BC103" s="6">
        <v>0</v>
      </c>
      <c r="BD103" s="6">
        <v>0</v>
      </c>
      <c r="BE103" s="1">
        <v>2025</v>
      </c>
      <c r="BF103" s="2">
        <v>2</v>
      </c>
      <c r="BG103" s="5">
        <f t="shared" ref="BG103:BI113" si="5">+E103+K103+Q103+W103+AC103+AI103+AO103+AU103+BA103</f>
        <v>70188.005000000005</v>
      </c>
      <c r="BH103" s="5">
        <f t="shared" si="5"/>
        <v>243498.106</v>
      </c>
      <c r="BI103" s="5">
        <f t="shared" si="5"/>
        <v>31246.610000000004</v>
      </c>
      <c r="BJ103" s="5">
        <f t="shared" si="3"/>
        <v>66382.53</v>
      </c>
      <c r="BK103" s="2">
        <v>2025</v>
      </c>
    </row>
    <row r="104" spans="3:63" outlineLevel="1" x14ac:dyDescent="0.35">
      <c r="C104" s="3">
        <v>45717</v>
      </c>
      <c r="D104" s="1">
        <v>3</v>
      </c>
      <c r="E104" s="6">
        <v>6897.2909999999974</v>
      </c>
      <c r="F104" s="6">
        <v>40684.101000000002</v>
      </c>
      <c r="G104" s="6">
        <v>9197.4700000000012</v>
      </c>
      <c r="H104" s="6">
        <v>19090.400000000001</v>
      </c>
      <c r="I104" s="1">
        <v>2025</v>
      </c>
      <c r="J104" s="2">
        <v>3</v>
      </c>
      <c r="K104" s="7">
        <v>2505.0819999999949</v>
      </c>
      <c r="L104" s="7">
        <v>43990.111999999994</v>
      </c>
      <c r="M104" s="7">
        <v>24.729999999999563</v>
      </c>
      <c r="N104" s="7">
        <v>18135.84</v>
      </c>
      <c r="O104" s="2">
        <v>2025</v>
      </c>
      <c r="P104" s="1">
        <v>3</v>
      </c>
      <c r="Q104" s="6">
        <v>15560.934999999998</v>
      </c>
      <c r="R104" s="6">
        <v>54536.896999999997</v>
      </c>
      <c r="S104" s="6">
        <v>2018.0200000000004</v>
      </c>
      <c r="T104" s="6">
        <v>9906.75</v>
      </c>
      <c r="U104" s="1">
        <v>2025</v>
      </c>
      <c r="V104" s="2">
        <v>3</v>
      </c>
      <c r="W104" s="7">
        <v>5988.0040000000008</v>
      </c>
      <c r="X104" s="7">
        <v>21815.268</v>
      </c>
      <c r="Y104" s="7">
        <v>2590.17</v>
      </c>
      <c r="Z104" s="7">
        <v>10756.15</v>
      </c>
      <c r="AA104" s="2">
        <v>2025</v>
      </c>
      <c r="AB104" s="1">
        <v>3</v>
      </c>
      <c r="AC104" s="6">
        <v>9495.518</v>
      </c>
      <c r="AD104" s="6">
        <v>28850.486000000004</v>
      </c>
      <c r="AE104" s="6">
        <v>6473.3099999999995</v>
      </c>
      <c r="AF104" s="6">
        <v>7126.08</v>
      </c>
      <c r="AG104" s="1">
        <v>2025</v>
      </c>
      <c r="AH104" s="2">
        <v>3</v>
      </c>
      <c r="AI104" s="7">
        <v>5155.8630000000048</v>
      </c>
      <c r="AJ104" s="7">
        <v>61598.036000000007</v>
      </c>
      <c r="AK104" s="7">
        <v>6879.1100000000006</v>
      </c>
      <c r="AL104" s="7">
        <v>24413.230000000003</v>
      </c>
      <c r="AM104" s="2">
        <v>2025</v>
      </c>
      <c r="AN104" s="1">
        <v>3</v>
      </c>
      <c r="AO104" s="6">
        <v>7790.732</v>
      </c>
      <c r="AP104" s="6">
        <v>23516.53</v>
      </c>
      <c r="AQ104" s="6">
        <v>3533.51</v>
      </c>
      <c r="AR104" s="6">
        <v>7670.4000000000005</v>
      </c>
      <c r="AS104" s="1">
        <v>2025</v>
      </c>
      <c r="AT104" s="2">
        <v>3</v>
      </c>
      <c r="AU104" s="7">
        <v>9193.2900000000009</v>
      </c>
      <c r="AV104" s="7">
        <v>28403.878000000001</v>
      </c>
      <c r="AW104" s="7">
        <v>0</v>
      </c>
      <c r="AX104" s="7">
        <v>0</v>
      </c>
      <c r="AY104" s="2">
        <v>2025</v>
      </c>
      <c r="AZ104" s="1">
        <v>3</v>
      </c>
      <c r="BA104" s="6">
        <v>1676.1000000000004</v>
      </c>
      <c r="BB104" s="6">
        <v>4365.6130000000003</v>
      </c>
      <c r="BC104" s="6">
        <v>0</v>
      </c>
      <c r="BD104" s="6">
        <v>0</v>
      </c>
      <c r="BE104" s="1">
        <v>2025</v>
      </c>
      <c r="BF104" s="2">
        <v>3</v>
      </c>
      <c r="BG104" s="5">
        <f t="shared" si="5"/>
        <v>64262.814999999988</v>
      </c>
      <c r="BH104" s="5">
        <f t="shared" si="5"/>
        <v>307760.92100000009</v>
      </c>
      <c r="BI104" s="5">
        <f t="shared" si="5"/>
        <v>30716.32</v>
      </c>
      <c r="BJ104" s="5">
        <f t="shared" si="3"/>
        <v>97098.85</v>
      </c>
      <c r="BK104" s="2">
        <v>2025</v>
      </c>
    </row>
    <row r="105" spans="3:63" outlineLevel="1" x14ac:dyDescent="0.35">
      <c r="C105" s="3">
        <v>45748</v>
      </c>
      <c r="D105" s="1">
        <v>4</v>
      </c>
      <c r="E105" s="6">
        <v>17784.898999999998</v>
      </c>
      <c r="F105" s="6">
        <v>58469</v>
      </c>
      <c r="G105" s="6">
        <v>7539.8300000000017</v>
      </c>
      <c r="H105" s="6">
        <v>26630.230000000003</v>
      </c>
      <c r="I105" s="1">
        <v>2025</v>
      </c>
      <c r="J105" s="2">
        <v>4</v>
      </c>
      <c r="K105" s="7">
        <v>13532.888000000006</v>
      </c>
      <c r="L105" s="7">
        <v>57523</v>
      </c>
      <c r="M105" s="7">
        <v>887.7599999999984</v>
      </c>
      <c r="N105" s="7">
        <v>19023.599999999999</v>
      </c>
      <c r="O105" s="2">
        <v>2025</v>
      </c>
      <c r="P105" s="1">
        <v>4</v>
      </c>
      <c r="Q105" s="6">
        <v>35683.103000000003</v>
      </c>
      <c r="R105" s="6">
        <v>90220</v>
      </c>
      <c r="S105" s="6">
        <v>8559.11</v>
      </c>
      <c r="T105" s="6">
        <v>18465.86</v>
      </c>
      <c r="U105" s="1">
        <v>2025</v>
      </c>
      <c r="V105" s="2">
        <v>4</v>
      </c>
      <c r="W105" s="7">
        <v>30464.732</v>
      </c>
      <c r="X105" s="7">
        <v>52280</v>
      </c>
      <c r="Y105" s="7">
        <v>4640.92</v>
      </c>
      <c r="Z105" s="7">
        <v>15397.07</v>
      </c>
      <c r="AA105" s="2">
        <v>2025</v>
      </c>
      <c r="AB105" s="1">
        <v>4</v>
      </c>
      <c r="AC105" s="6">
        <v>9179.5139999999956</v>
      </c>
      <c r="AD105" s="6">
        <v>38030</v>
      </c>
      <c r="AE105" s="6">
        <v>6308.5</v>
      </c>
      <c r="AF105" s="6">
        <v>13434.58</v>
      </c>
      <c r="AG105" s="1">
        <v>2025</v>
      </c>
      <c r="AH105" s="2">
        <v>4</v>
      </c>
      <c r="AI105" s="7">
        <v>12724.963999999993</v>
      </c>
      <c r="AJ105" s="7">
        <v>74323</v>
      </c>
      <c r="AK105" s="7">
        <v>4103.0499999999993</v>
      </c>
      <c r="AL105" s="7">
        <v>28516.280000000002</v>
      </c>
      <c r="AM105" s="2">
        <v>2025</v>
      </c>
      <c r="AN105" s="1">
        <v>4</v>
      </c>
      <c r="AO105" s="6">
        <v>17396.47</v>
      </c>
      <c r="AP105" s="6">
        <v>40913</v>
      </c>
      <c r="AQ105" s="6">
        <v>9822.0799999999981</v>
      </c>
      <c r="AR105" s="6">
        <v>17492.48</v>
      </c>
      <c r="AS105" s="1">
        <v>2025</v>
      </c>
      <c r="AT105" s="2">
        <v>4</v>
      </c>
      <c r="AU105" s="7">
        <v>16980.121999999999</v>
      </c>
      <c r="AV105" s="7">
        <v>45384</v>
      </c>
      <c r="AW105" s="7">
        <v>0</v>
      </c>
      <c r="AX105" s="7">
        <v>0</v>
      </c>
      <c r="AY105" s="2">
        <v>2025</v>
      </c>
      <c r="AZ105" s="1">
        <v>4</v>
      </c>
      <c r="BA105" s="6">
        <v>2989.3869999999997</v>
      </c>
      <c r="BB105" s="6">
        <v>7355</v>
      </c>
      <c r="BC105" s="6">
        <v>0</v>
      </c>
      <c r="BD105" s="6">
        <v>0</v>
      </c>
      <c r="BE105" s="1">
        <v>2025</v>
      </c>
      <c r="BF105" s="2">
        <v>4</v>
      </c>
      <c r="BG105" s="5">
        <f t="shared" si="5"/>
        <v>156736.079</v>
      </c>
      <c r="BH105" s="5">
        <f t="shared" si="5"/>
        <v>464497</v>
      </c>
      <c r="BI105" s="5">
        <f t="shared" si="5"/>
        <v>41861.25</v>
      </c>
      <c r="BJ105" s="5">
        <f t="shared" si="3"/>
        <v>138960.1</v>
      </c>
      <c r="BK105" s="2">
        <v>2025</v>
      </c>
    </row>
    <row r="106" spans="3:63" x14ac:dyDescent="0.35">
      <c r="C106" s="3">
        <v>45778</v>
      </c>
      <c r="D106" s="1">
        <v>5</v>
      </c>
      <c r="E106" s="6">
        <v>30324.467999999993</v>
      </c>
      <c r="F106" s="6">
        <v>88793.467999999993</v>
      </c>
      <c r="G106" s="6">
        <v>24089.199999999997</v>
      </c>
      <c r="H106" s="6">
        <v>50719.43</v>
      </c>
      <c r="I106" s="1">
        <v>2025</v>
      </c>
      <c r="J106" s="2">
        <v>5</v>
      </c>
      <c r="K106" s="7">
        <v>10677.096999999994</v>
      </c>
      <c r="L106" s="7">
        <v>68200.096999999994</v>
      </c>
      <c r="M106" s="7">
        <v>6214.7400000000016</v>
      </c>
      <c r="N106" s="7">
        <v>25238.34</v>
      </c>
      <c r="O106" s="2">
        <v>2025</v>
      </c>
      <c r="P106" s="1">
        <v>5</v>
      </c>
      <c r="Q106" s="6">
        <v>25779.349000000002</v>
      </c>
      <c r="R106" s="6">
        <v>115999.349</v>
      </c>
      <c r="S106" s="6">
        <v>7602.27</v>
      </c>
      <c r="T106" s="6">
        <v>26068.13</v>
      </c>
      <c r="U106" s="1">
        <v>2025</v>
      </c>
      <c r="V106" s="2">
        <v>5</v>
      </c>
      <c r="W106" s="7">
        <v>22438.624000000011</v>
      </c>
      <c r="X106" s="7">
        <v>74718.624000000011</v>
      </c>
      <c r="Y106" s="7">
        <v>15255.010000000002</v>
      </c>
      <c r="Z106" s="7">
        <v>30652.080000000002</v>
      </c>
      <c r="AA106" s="2">
        <v>2025</v>
      </c>
      <c r="AB106" s="1">
        <v>5</v>
      </c>
      <c r="AC106" s="6">
        <v>10566.180000000008</v>
      </c>
      <c r="AD106" s="6">
        <v>48596.180000000008</v>
      </c>
      <c r="AE106" s="6">
        <v>7545.9600000000009</v>
      </c>
      <c r="AF106" s="6">
        <v>20980.54</v>
      </c>
      <c r="AG106" s="1">
        <v>2025</v>
      </c>
      <c r="AH106" s="2">
        <v>5</v>
      </c>
      <c r="AI106" s="7">
        <v>13711.178000000014</v>
      </c>
      <c r="AJ106" s="7">
        <v>88034.178000000014</v>
      </c>
      <c r="AK106" s="7">
        <v>9895.52</v>
      </c>
      <c r="AL106" s="7">
        <v>38411.800000000003</v>
      </c>
      <c r="AM106" s="2">
        <v>2025</v>
      </c>
      <c r="AN106" s="1">
        <v>5</v>
      </c>
      <c r="AO106" s="6">
        <v>14922.077999999965</v>
      </c>
      <c r="AP106" s="6">
        <v>55835.077999999965</v>
      </c>
      <c r="AQ106" s="6">
        <v>9214.2799999999988</v>
      </c>
      <c r="AR106" s="6">
        <v>26706.76</v>
      </c>
      <c r="AS106" s="1">
        <v>2025</v>
      </c>
      <c r="AT106" s="2">
        <v>5</v>
      </c>
      <c r="AU106" s="7">
        <v>8714.5020000000004</v>
      </c>
      <c r="AV106" s="7">
        <v>54098.502</v>
      </c>
      <c r="AW106" s="7">
        <v>0</v>
      </c>
      <c r="AX106" s="7">
        <v>0</v>
      </c>
      <c r="AY106" s="2">
        <v>2025</v>
      </c>
      <c r="AZ106" s="1">
        <v>5</v>
      </c>
      <c r="BA106" s="6">
        <v>2955.7090000000007</v>
      </c>
      <c r="BB106" s="6">
        <v>10310.709000000001</v>
      </c>
      <c r="BC106" s="6">
        <v>0</v>
      </c>
      <c r="BD106" s="6">
        <v>0</v>
      </c>
      <c r="BE106" s="1">
        <v>2025</v>
      </c>
      <c r="BF106" s="2">
        <v>5</v>
      </c>
      <c r="BG106" s="5">
        <f t="shared" si="5"/>
        <v>140089.185</v>
      </c>
      <c r="BH106" s="5">
        <f t="shared" si="5"/>
        <v>604586.18499999994</v>
      </c>
      <c r="BI106" s="5">
        <f t="shared" si="5"/>
        <v>79816.98</v>
      </c>
      <c r="BJ106" s="5">
        <f t="shared" si="3"/>
        <v>218777.08000000002</v>
      </c>
      <c r="BK106" s="2">
        <v>2025</v>
      </c>
    </row>
    <row r="107" spans="3:63" x14ac:dyDescent="0.35">
      <c r="C107" s="3">
        <v>45809</v>
      </c>
      <c r="D107" s="1">
        <v>6</v>
      </c>
      <c r="E107" s="6">
        <v>30025.648000000001</v>
      </c>
      <c r="F107" s="6">
        <v>118819.11599999999</v>
      </c>
      <c r="G107" s="6">
        <v>15023.71</v>
      </c>
      <c r="H107" s="6">
        <v>65743.14</v>
      </c>
      <c r="I107" s="1">
        <v>2025</v>
      </c>
      <c r="J107" s="2">
        <v>6</v>
      </c>
      <c r="K107" s="7">
        <v>16697.392999999982</v>
      </c>
      <c r="L107" s="7">
        <v>84897.489999999976</v>
      </c>
      <c r="M107" s="7">
        <v>8278.7099999999955</v>
      </c>
      <c r="N107" s="7">
        <v>33517.049999999996</v>
      </c>
      <c r="O107" s="2">
        <v>2025</v>
      </c>
      <c r="P107" s="1">
        <v>6</v>
      </c>
      <c r="Q107" s="6">
        <v>36693.28200000005</v>
      </c>
      <c r="R107" s="6">
        <v>152692.63100000005</v>
      </c>
      <c r="S107" s="6">
        <v>5679.630000000001</v>
      </c>
      <c r="T107" s="6">
        <v>31747.760000000002</v>
      </c>
      <c r="U107" s="1">
        <v>2025</v>
      </c>
      <c r="V107" s="2">
        <v>6</v>
      </c>
      <c r="W107" s="7">
        <v>38702.771999999983</v>
      </c>
      <c r="X107" s="7">
        <v>113421.39599999999</v>
      </c>
      <c r="Y107" s="7">
        <v>15755.370000000003</v>
      </c>
      <c r="Z107" s="7">
        <v>46407.450000000004</v>
      </c>
      <c r="AA107" s="2">
        <v>2025</v>
      </c>
      <c r="AB107" s="1">
        <v>6</v>
      </c>
      <c r="AC107" s="6">
        <v>8972.7350000000006</v>
      </c>
      <c r="AD107" s="6">
        <v>57568.915000000008</v>
      </c>
      <c r="AE107" s="6">
        <v>6327.5400000000009</v>
      </c>
      <c r="AF107" s="6">
        <v>27308.080000000002</v>
      </c>
      <c r="AG107" s="1">
        <v>2025</v>
      </c>
      <c r="AH107" s="2">
        <v>6</v>
      </c>
      <c r="AI107" s="7">
        <v>16865.125999999989</v>
      </c>
      <c r="AJ107" s="7">
        <v>104899.304</v>
      </c>
      <c r="AK107" s="7">
        <v>14597.25</v>
      </c>
      <c r="AL107" s="7">
        <v>53009.05</v>
      </c>
      <c r="AM107" s="2">
        <v>2025</v>
      </c>
      <c r="AN107" s="1">
        <v>6</v>
      </c>
      <c r="AO107" s="6">
        <v>14947.080000000016</v>
      </c>
      <c r="AP107" s="6">
        <v>70782.157999999981</v>
      </c>
      <c r="AQ107" s="6">
        <v>4742.3600000000006</v>
      </c>
      <c r="AR107" s="6">
        <v>31449.119999999999</v>
      </c>
      <c r="AS107" s="1">
        <v>2025</v>
      </c>
      <c r="AT107" s="2">
        <v>6</v>
      </c>
      <c r="AU107" s="7">
        <v>16844.961000000018</v>
      </c>
      <c r="AV107" s="7">
        <v>70943.463000000018</v>
      </c>
      <c r="AW107" s="7">
        <v>0</v>
      </c>
      <c r="AX107" s="7">
        <v>0</v>
      </c>
      <c r="AY107" s="2">
        <v>2025</v>
      </c>
      <c r="AZ107" s="1">
        <v>6</v>
      </c>
      <c r="BA107" s="6">
        <v>1562.6910000000007</v>
      </c>
      <c r="BB107" s="6">
        <v>11873.400000000001</v>
      </c>
      <c r="BC107" s="6">
        <v>0</v>
      </c>
      <c r="BD107" s="6">
        <v>0</v>
      </c>
      <c r="BE107" s="1">
        <v>2025</v>
      </c>
      <c r="BF107" s="2">
        <v>6</v>
      </c>
      <c r="BG107" s="5">
        <f t="shared" si="5"/>
        <v>181311.68800000002</v>
      </c>
      <c r="BH107" s="5">
        <f t="shared" si="5"/>
        <v>785897.87300000002</v>
      </c>
      <c r="BI107" s="5">
        <f t="shared" si="5"/>
        <v>70404.569999999992</v>
      </c>
      <c r="BJ107" s="5">
        <f t="shared" si="3"/>
        <v>289181.65000000002</v>
      </c>
      <c r="BK107" s="2">
        <v>2025</v>
      </c>
    </row>
    <row r="108" spans="3:63" x14ac:dyDescent="0.35">
      <c r="C108" s="3">
        <v>45839</v>
      </c>
      <c r="D108" s="1">
        <v>7</v>
      </c>
      <c r="E108" s="6">
        <v>17147.273999999961</v>
      </c>
      <c r="F108" s="6">
        <v>135966.38999999996</v>
      </c>
      <c r="G108" s="6">
        <v>8472.2299999999959</v>
      </c>
      <c r="H108" s="6">
        <v>74215.37</v>
      </c>
      <c r="I108" s="1">
        <v>2025</v>
      </c>
      <c r="J108" s="2">
        <v>7</v>
      </c>
      <c r="K108" s="7">
        <v>8955.8560000000289</v>
      </c>
      <c r="L108" s="7">
        <v>93853.346000000005</v>
      </c>
      <c r="M108" s="7">
        <v>4808.5299999999988</v>
      </c>
      <c r="N108" s="7">
        <v>38325.579999999994</v>
      </c>
      <c r="O108" s="2">
        <v>2025</v>
      </c>
      <c r="P108" s="1">
        <v>7</v>
      </c>
      <c r="Q108" s="6">
        <v>17341.09599999999</v>
      </c>
      <c r="R108" s="6">
        <v>170033.72700000004</v>
      </c>
      <c r="S108" s="6">
        <v>5276.1500000000015</v>
      </c>
      <c r="T108" s="6">
        <v>37023.910000000003</v>
      </c>
      <c r="U108" s="1">
        <v>2025</v>
      </c>
      <c r="V108" s="2">
        <v>7</v>
      </c>
      <c r="W108" s="7">
        <v>18595.225999999981</v>
      </c>
      <c r="X108" s="7">
        <v>132016.62199999997</v>
      </c>
      <c r="Y108" s="7">
        <v>11924.36</v>
      </c>
      <c r="Z108" s="7">
        <v>58331.810000000005</v>
      </c>
      <c r="AA108" s="2">
        <v>2025</v>
      </c>
      <c r="AB108" s="1">
        <v>7</v>
      </c>
      <c r="AC108" s="6">
        <v>8978.0169999999925</v>
      </c>
      <c r="AD108" s="6">
        <v>66546.932000000001</v>
      </c>
      <c r="AE108" s="6">
        <v>4607.1500000000015</v>
      </c>
      <c r="AF108" s="6">
        <v>31915.230000000003</v>
      </c>
      <c r="AG108" s="1">
        <v>2025</v>
      </c>
      <c r="AH108" s="2">
        <v>7</v>
      </c>
      <c r="AI108" s="7">
        <v>10064.69200000001</v>
      </c>
      <c r="AJ108" s="7">
        <v>114963.99600000001</v>
      </c>
      <c r="AK108" s="7">
        <v>11563.660000000003</v>
      </c>
      <c r="AL108" s="7">
        <v>64572.710000000006</v>
      </c>
      <c r="AM108" s="2">
        <v>2025</v>
      </c>
      <c r="AN108" s="1">
        <v>7</v>
      </c>
      <c r="AO108" s="6">
        <v>9016.0339999999851</v>
      </c>
      <c r="AP108" s="6">
        <v>79798.191999999966</v>
      </c>
      <c r="AQ108" s="6">
        <v>2428.2199999999975</v>
      </c>
      <c r="AR108" s="6">
        <v>33877.339999999997</v>
      </c>
      <c r="AS108" s="1">
        <v>2025</v>
      </c>
      <c r="AT108" s="2">
        <v>7</v>
      </c>
      <c r="AU108" s="7">
        <v>10679.176000000007</v>
      </c>
      <c r="AV108" s="7">
        <v>81622.639000000025</v>
      </c>
      <c r="AW108" s="7">
        <v>0</v>
      </c>
      <c r="AX108" s="7">
        <v>0</v>
      </c>
      <c r="AY108" s="2">
        <v>2025</v>
      </c>
      <c r="AZ108" s="1">
        <v>7</v>
      </c>
      <c r="BA108" s="6">
        <v>221.71000000000095</v>
      </c>
      <c r="BB108" s="6">
        <v>12095.110000000002</v>
      </c>
      <c r="BC108" s="6">
        <v>0</v>
      </c>
      <c r="BD108" s="6">
        <v>0</v>
      </c>
      <c r="BE108" s="1">
        <v>2025</v>
      </c>
      <c r="BF108" s="2">
        <v>7</v>
      </c>
      <c r="BG108" s="5">
        <f t="shared" si="5"/>
        <v>100999.08099999996</v>
      </c>
      <c r="BH108" s="5">
        <f t="shared" si="5"/>
        <v>886896.95400000003</v>
      </c>
      <c r="BI108" s="5">
        <f t="shared" si="5"/>
        <v>49080.3</v>
      </c>
      <c r="BJ108" s="5">
        <f t="shared" si="3"/>
        <v>338261.94999999995</v>
      </c>
      <c r="BK108" s="2">
        <v>2025</v>
      </c>
    </row>
    <row r="109" spans="3:63" x14ac:dyDescent="0.35">
      <c r="C109" s="3">
        <v>45870</v>
      </c>
      <c r="D109" s="1">
        <v>8</v>
      </c>
      <c r="E109" s="6">
        <v>11384.285000000003</v>
      </c>
      <c r="F109" s="6">
        <v>147350.67499999996</v>
      </c>
      <c r="G109" s="6">
        <v>8068.8400000000111</v>
      </c>
      <c r="H109" s="6">
        <v>82284.210000000006</v>
      </c>
      <c r="I109" s="1">
        <v>2025</v>
      </c>
      <c r="J109" s="2">
        <v>8</v>
      </c>
      <c r="K109" s="7">
        <v>18807.516000000003</v>
      </c>
      <c r="L109" s="7">
        <v>112660.86200000001</v>
      </c>
      <c r="M109" s="7">
        <v>11922.190000000002</v>
      </c>
      <c r="N109" s="7">
        <v>50247.77</v>
      </c>
      <c r="O109" s="2">
        <v>2025</v>
      </c>
      <c r="P109" s="1">
        <v>8</v>
      </c>
      <c r="Q109" s="6">
        <v>15292.847000000038</v>
      </c>
      <c r="R109" s="6">
        <v>185326.57400000008</v>
      </c>
      <c r="S109" s="6">
        <v>4474.7300000000032</v>
      </c>
      <c r="T109" s="6">
        <v>41498.640000000007</v>
      </c>
      <c r="U109" s="1">
        <v>2025</v>
      </c>
      <c r="V109" s="2">
        <v>8</v>
      </c>
      <c r="W109" s="7">
        <v>11789.994000000006</v>
      </c>
      <c r="X109" s="7">
        <v>143806.61599999998</v>
      </c>
      <c r="Y109" s="7">
        <v>5167.3099999999904</v>
      </c>
      <c r="Z109" s="7">
        <v>63499.119999999995</v>
      </c>
      <c r="AA109" s="2">
        <v>2025</v>
      </c>
      <c r="AB109" s="1">
        <v>8</v>
      </c>
      <c r="AC109" s="6">
        <v>12291.181000000011</v>
      </c>
      <c r="AD109" s="6">
        <v>78838.113000000012</v>
      </c>
      <c r="AE109" s="6">
        <v>2063.5199999999968</v>
      </c>
      <c r="AF109" s="6">
        <v>33978.75</v>
      </c>
      <c r="AG109" s="1">
        <v>2025</v>
      </c>
      <c r="AH109" s="2">
        <v>8</v>
      </c>
      <c r="AI109" s="7">
        <v>8566.7309999999998</v>
      </c>
      <c r="AJ109" s="7">
        <v>123530.72700000001</v>
      </c>
      <c r="AK109" s="7">
        <v>17499.910000000003</v>
      </c>
      <c r="AL109" s="7">
        <v>82072.62000000001</v>
      </c>
      <c r="AM109" s="2">
        <v>2025</v>
      </c>
      <c r="AN109" s="1">
        <v>8</v>
      </c>
      <c r="AO109" s="6">
        <v>4409.929999999993</v>
      </c>
      <c r="AP109" s="6">
        <v>84208.121999999959</v>
      </c>
      <c r="AQ109" s="6">
        <v>1348.1600000000108</v>
      </c>
      <c r="AR109" s="6">
        <v>35225.500000000007</v>
      </c>
      <c r="AS109" s="1">
        <v>2025</v>
      </c>
      <c r="AT109" s="2">
        <v>8</v>
      </c>
      <c r="AU109" s="7">
        <v>11732.646999999997</v>
      </c>
      <c r="AV109" s="7">
        <v>93355.286000000022</v>
      </c>
      <c r="AW109" s="7">
        <v>0</v>
      </c>
      <c r="AX109" s="7">
        <v>0</v>
      </c>
      <c r="AY109" s="2">
        <v>2025</v>
      </c>
      <c r="AZ109" s="1">
        <v>8</v>
      </c>
      <c r="BA109" s="6">
        <v>250.19999999999891</v>
      </c>
      <c r="BB109" s="6">
        <v>12345.310000000001</v>
      </c>
      <c r="BC109" s="6">
        <v>0</v>
      </c>
      <c r="BD109" s="6">
        <v>0</v>
      </c>
      <c r="BE109" s="1">
        <v>2025</v>
      </c>
      <c r="BF109" s="2">
        <v>8</v>
      </c>
      <c r="BG109" s="5">
        <f t="shared" si="5"/>
        <v>94525.331000000049</v>
      </c>
      <c r="BH109" s="5">
        <f t="shared" si="5"/>
        <v>981422.28500000015</v>
      </c>
      <c r="BI109" s="5">
        <f t="shared" si="5"/>
        <v>50544.660000000018</v>
      </c>
      <c r="BJ109" s="5">
        <f t="shared" si="3"/>
        <v>388806.61</v>
      </c>
      <c r="BK109" s="2">
        <v>2025</v>
      </c>
    </row>
    <row r="110" spans="3:63" x14ac:dyDescent="0.35">
      <c r="C110" s="3">
        <v>45901</v>
      </c>
      <c r="D110" s="1">
        <v>9</v>
      </c>
      <c r="E110" s="6">
        <v>10415.865000000049</v>
      </c>
      <c r="F110" s="6">
        <v>157766.54</v>
      </c>
      <c r="G110" s="6">
        <v>10722.589999999997</v>
      </c>
      <c r="H110" s="6">
        <v>93006.8</v>
      </c>
      <c r="I110" s="1">
        <v>2025</v>
      </c>
      <c r="J110" s="2">
        <v>9</v>
      </c>
      <c r="K110" s="7">
        <v>9488.3579999999929</v>
      </c>
      <c r="L110" s="7">
        <v>122149.22</v>
      </c>
      <c r="M110" s="7">
        <v>8650.5800000000017</v>
      </c>
      <c r="N110" s="7">
        <v>58898.35</v>
      </c>
      <c r="O110" s="2">
        <v>2025</v>
      </c>
      <c r="P110" s="1">
        <v>9</v>
      </c>
      <c r="Q110" s="6">
        <v>19450.985999999917</v>
      </c>
      <c r="R110" s="6">
        <v>204777.56</v>
      </c>
      <c r="S110" s="6">
        <v>4084.3899999999921</v>
      </c>
      <c r="T110" s="6">
        <v>45583.03</v>
      </c>
      <c r="U110" s="1">
        <v>2025</v>
      </c>
      <c r="V110" s="2">
        <v>9</v>
      </c>
      <c r="W110" s="7">
        <v>18095.714000000007</v>
      </c>
      <c r="X110" s="7">
        <v>161902.32999999999</v>
      </c>
      <c r="Y110" s="7">
        <v>4003.5100000000093</v>
      </c>
      <c r="Z110" s="7">
        <v>67502.63</v>
      </c>
      <c r="AA110" s="2">
        <v>2025</v>
      </c>
      <c r="AB110" s="1">
        <v>9</v>
      </c>
      <c r="AC110" s="6">
        <v>3837.9049999999843</v>
      </c>
      <c r="AD110" s="6">
        <v>82676.017999999996</v>
      </c>
      <c r="AE110" s="6">
        <v>722.47000000000116</v>
      </c>
      <c r="AF110" s="6">
        <v>34701.22</v>
      </c>
      <c r="AG110" s="1">
        <v>2025</v>
      </c>
      <c r="AH110" s="2">
        <v>9</v>
      </c>
      <c r="AI110" s="7">
        <v>6977.4129999999859</v>
      </c>
      <c r="AJ110" s="7">
        <v>130508.14</v>
      </c>
      <c r="AK110" s="7">
        <v>10361.12999999999</v>
      </c>
      <c r="AL110" s="7">
        <v>92433.75</v>
      </c>
      <c r="AM110" s="2">
        <v>2025</v>
      </c>
      <c r="AN110" s="1">
        <v>9</v>
      </c>
      <c r="AO110" s="6">
        <v>3895.2830000000395</v>
      </c>
      <c r="AP110" s="6">
        <v>88103.404999999999</v>
      </c>
      <c r="AQ110" s="6">
        <v>99.869999999995343</v>
      </c>
      <c r="AR110" s="6">
        <v>35325.370000000003</v>
      </c>
      <c r="AS110" s="1">
        <v>2025</v>
      </c>
      <c r="AT110" s="2">
        <v>9</v>
      </c>
      <c r="AU110" s="7">
        <v>5152.4139999999752</v>
      </c>
      <c r="AV110" s="7">
        <v>98507.7</v>
      </c>
      <c r="AW110" s="7">
        <v>0</v>
      </c>
      <c r="AX110" s="7">
        <v>0</v>
      </c>
      <c r="AY110" s="2">
        <v>2025</v>
      </c>
      <c r="AZ110" s="1">
        <v>9</v>
      </c>
      <c r="BA110" s="6">
        <v>677.83999999999833</v>
      </c>
      <c r="BB110" s="6">
        <v>13023.15</v>
      </c>
      <c r="BC110" s="6">
        <v>0</v>
      </c>
      <c r="BD110" s="6">
        <v>0</v>
      </c>
      <c r="BE110" s="1">
        <v>2025</v>
      </c>
      <c r="BF110" s="2">
        <v>9</v>
      </c>
      <c r="BG110" s="5">
        <f t="shared" si="5"/>
        <v>77991.777999999947</v>
      </c>
      <c r="BH110" s="5">
        <f t="shared" si="5"/>
        <v>1059414.0630000001</v>
      </c>
      <c r="BI110" s="5">
        <f t="shared" si="5"/>
        <v>38644.539999999986</v>
      </c>
      <c r="BJ110" s="5">
        <f t="shared" si="3"/>
        <v>427451.15</v>
      </c>
      <c r="BK110" s="2">
        <v>2025</v>
      </c>
    </row>
    <row r="111" spans="3:63" x14ac:dyDescent="0.35">
      <c r="C111" s="3">
        <v>45931</v>
      </c>
      <c r="D111" s="1">
        <v>10</v>
      </c>
      <c r="E111" s="6">
        <f>+F111-F110</f>
        <v>9194.4629999999888</v>
      </c>
      <c r="F111" s="6">
        <f>+'[1]Bce. Acopios YTD 2025-10 (2)'!$C$5</f>
        <v>166961.003</v>
      </c>
      <c r="G111" s="6">
        <f>+H111-H110</f>
        <v>10735.01999999999</v>
      </c>
      <c r="H111" s="6">
        <f>+'[1]Bce. Acopios YTD 2025-10 (2)'!$C$6</f>
        <v>103741.81999999999</v>
      </c>
      <c r="I111" s="1">
        <v>2025</v>
      </c>
      <c r="J111" s="2">
        <v>10</v>
      </c>
      <c r="K111" s="7">
        <f>+L111-L110</f>
        <v>34173.867999999988</v>
      </c>
      <c r="L111" s="7">
        <f>+'[1]Bce. Acopios YTD 2025-10 (2)'!$D$5</f>
        <v>156323.08799999999</v>
      </c>
      <c r="M111" s="7">
        <f>+N111-N110</f>
        <v>10142.239999999998</v>
      </c>
      <c r="N111" s="7">
        <f>+'[1]Bce. Acopios YTD 2025-10 (2)'!$D$6</f>
        <v>69040.59</v>
      </c>
      <c r="O111" s="2">
        <v>2025</v>
      </c>
      <c r="P111" s="1">
        <v>10</v>
      </c>
      <c r="Q111" s="6">
        <f>+R111-R110</f>
        <v>15129.823000000004</v>
      </c>
      <c r="R111" s="6">
        <f>+'[1]Bce. Acopios YTD 2025-10 (2)'!$E$5</f>
        <v>219907.383</v>
      </c>
      <c r="S111" s="6">
        <f>+T111-T110</f>
        <v>5688.1100000000079</v>
      </c>
      <c r="T111" s="6">
        <f>+'[1]Bce. Acopios YTD 2025-10 (2)'!$E$6</f>
        <v>51271.140000000007</v>
      </c>
      <c r="U111" s="1">
        <v>2025</v>
      </c>
      <c r="V111" s="2">
        <v>10</v>
      </c>
      <c r="W111" s="7">
        <f>+X111-X110</f>
        <v>22266.858000000007</v>
      </c>
      <c r="X111" s="7">
        <f>+'[1]Bce. Acopios YTD 2025-10 (2)'!$F$5</f>
        <v>184169.18799999999</v>
      </c>
      <c r="Y111" s="7">
        <f>+Z111-Z110</f>
        <v>9113.3399999999965</v>
      </c>
      <c r="Z111" s="7">
        <f>+'[1]Bce. Acopios YTD 2025-10 (2)'!$F$6</f>
        <v>76615.97</v>
      </c>
      <c r="AA111" s="2">
        <v>2025</v>
      </c>
      <c r="AB111" s="1">
        <v>10</v>
      </c>
      <c r="AC111" s="6">
        <f>+AD111-AD110</f>
        <v>4035.984999999986</v>
      </c>
      <c r="AD111" s="6">
        <f>+'[1]Bce. Acopios YTD 2025-10 (2)'!$G$5</f>
        <v>86712.002999999982</v>
      </c>
      <c r="AE111" s="6">
        <f>+AF111-AF110</f>
        <v>1489.4499999999971</v>
      </c>
      <c r="AF111" s="6">
        <f>+'[1]Bce. Acopios YTD 2025-10 (2)'!$G$6</f>
        <v>36190.67</v>
      </c>
      <c r="AG111" s="1">
        <v>2025</v>
      </c>
      <c r="AH111" s="2">
        <v>10</v>
      </c>
      <c r="AI111" s="7">
        <f>+AJ111-AJ110</f>
        <v>7036.7050000000017</v>
      </c>
      <c r="AJ111" s="7">
        <f>+'[1]Bce. Acopios YTD 2025-10 (2)'!$H$5</f>
        <v>137544.845</v>
      </c>
      <c r="AK111" s="7">
        <f>+AL111-AL110</f>
        <v>6240.6000000000204</v>
      </c>
      <c r="AL111" s="7">
        <f>+'[1]Bce. Acopios YTD 2025-10 (2)'!$H$6</f>
        <v>98674.35000000002</v>
      </c>
      <c r="AM111" s="2">
        <v>2025</v>
      </c>
      <c r="AN111" s="1">
        <v>10</v>
      </c>
      <c r="AO111" s="6">
        <f>+AP111-AP110</f>
        <v>1739.6059999999707</v>
      </c>
      <c r="AP111" s="6">
        <f>+'[1]Bce. Acopios YTD 2025-10 (2)'!$I$5</f>
        <v>89843.010999999969</v>
      </c>
      <c r="AQ111" s="6">
        <f>+AR111-AR110</f>
        <v>1666.3499999999985</v>
      </c>
      <c r="AR111" s="6">
        <f>+'[1]Bce. Acopios YTD 2025-10 (2)'!$I$6</f>
        <v>36991.72</v>
      </c>
      <c r="AS111" s="1">
        <v>2025</v>
      </c>
      <c r="AT111" s="2">
        <v>10</v>
      </c>
      <c r="AU111" s="7">
        <f>+AV111-AV110</f>
        <v>7862.9170000000304</v>
      </c>
      <c r="AV111" s="7">
        <f>+'[1]Bce. Acopios YTD 2025-10 (2)'!$J$5</f>
        <v>106370.61700000003</v>
      </c>
      <c r="AW111" s="7">
        <f>+AX111-AX110</f>
        <v>0</v>
      </c>
      <c r="AX111" s="7">
        <f>+'[1]Bce. Acopios YTD 2025-10 (2)'!$J$6</f>
        <v>0</v>
      </c>
      <c r="AY111" s="2">
        <v>2025</v>
      </c>
      <c r="AZ111" s="1">
        <v>10</v>
      </c>
      <c r="BA111" s="6">
        <f>+BB111-BB110</f>
        <v>1904.3020000000015</v>
      </c>
      <c r="BB111" s="6">
        <f>+'[1]Bce. Acopios YTD 2025-10 (2)'!$K$5</f>
        <v>14927.452000000001</v>
      </c>
      <c r="BC111" s="6">
        <f>+BD111-BD110</f>
        <v>0</v>
      </c>
      <c r="BD111" s="6">
        <f>+'[1]Bce. Acopios YTD 2025-10 (2)'!$K$6</f>
        <v>0</v>
      </c>
      <c r="BE111" s="1">
        <v>2025</v>
      </c>
      <c r="BF111" s="2">
        <v>10</v>
      </c>
      <c r="BG111" s="5">
        <f t="shared" si="5"/>
        <v>103344.52699999997</v>
      </c>
      <c r="BH111" s="5">
        <f t="shared" si="5"/>
        <v>1162758.5900000001</v>
      </c>
      <c r="BI111" s="5">
        <f t="shared" si="5"/>
        <v>45075.110000000008</v>
      </c>
      <c r="BJ111" s="5">
        <f t="shared" si="3"/>
        <v>472526.26</v>
      </c>
      <c r="BK111" s="2">
        <v>2025</v>
      </c>
    </row>
    <row r="112" spans="3:63" x14ac:dyDescent="0.35">
      <c r="C112" s="3">
        <v>45962</v>
      </c>
      <c r="D112" s="1">
        <v>11</v>
      </c>
      <c r="E112" s="6"/>
      <c r="F112" s="6"/>
      <c r="G112" s="6"/>
      <c r="H112" s="6"/>
      <c r="I112" s="1">
        <v>2025</v>
      </c>
      <c r="J112" s="2">
        <v>11</v>
      </c>
      <c r="K112" s="7"/>
      <c r="L112" s="7"/>
      <c r="M112" s="7"/>
      <c r="N112" s="7"/>
      <c r="O112" s="2">
        <v>2025</v>
      </c>
      <c r="P112" s="1">
        <v>11</v>
      </c>
      <c r="Q112" s="6"/>
      <c r="R112" s="6"/>
      <c r="S112" s="6"/>
      <c r="T112" s="6"/>
      <c r="U112" s="1">
        <v>2025</v>
      </c>
      <c r="V112" s="2">
        <v>11</v>
      </c>
      <c r="W112" s="7"/>
      <c r="X112" s="7"/>
      <c r="Y112" s="7"/>
      <c r="Z112" s="7"/>
      <c r="AA112" s="2">
        <v>2025</v>
      </c>
      <c r="AB112" s="1">
        <v>11</v>
      </c>
      <c r="AC112" s="6"/>
      <c r="AD112" s="6"/>
      <c r="AE112" s="6"/>
      <c r="AF112" s="6"/>
      <c r="AG112" s="1">
        <v>2025</v>
      </c>
      <c r="AH112" s="2">
        <v>11</v>
      </c>
      <c r="AI112" s="7"/>
      <c r="AJ112" s="7"/>
      <c r="AK112" s="7"/>
      <c r="AL112" s="7"/>
      <c r="AM112" s="2">
        <v>2025</v>
      </c>
      <c r="AN112" s="1">
        <v>11</v>
      </c>
      <c r="AO112" s="6"/>
      <c r="AP112" s="6"/>
      <c r="AQ112" s="6"/>
      <c r="AR112" s="6"/>
      <c r="AS112" s="1">
        <v>2025</v>
      </c>
      <c r="AT112" s="2">
        <v>11</v>
      </c>
      <c r="AU112" s="7"/>
      <c r="AV112" s="7"/>
      <c r="AW112" s="7"/>
      <c r="AX112" s="7"/>
      <c r="AY112" s="2">
        <v>2025</v>
      </c>
      <c r="AZ112" s="1">
        <v>11</v>
      </c>
      <c r="BA112" s="6"/>
      <c r="BB112" s="6"/>
      <c r="BC112" s="6"/>
      <c r="BD112" s="6"/>
      <c r="BE112" s="1">
        <v>2025</v>
      </c>
      <c r="BF112" s="2">
        <v>11</v>
      </c>
      <c r="BG112" s="5">
        <f t="shared" si="5"/>
        <v>0</v>
      </c>
      <c r="BH112" s="5">
        <f t="shared" si="5"/>
        <v>0</v>
      </c>
      <c r="BI112" s="5">
        <f t="shared" si="5"/>
        <v>0</v>
      </c>
      <c r="BJ112" s="5">
        <f t="shared" si="3"/>
        <v>0</v>
      </c>
      <c r="BK112" s="2">
        <v>2025</v>
      </c>
    </row>
    <row r="113" spans="1:63" x14ac:dyDescent="0.35">
      <c r="C113" s="3">
        <v>45992</v>
      </c>
      <c r="D113" s="1">
        <v>12</v>
      </c>
      <c r="E113" s="6"/>
      <c r="F113" s="6"/>
      <c r="G113" s="6"/>
      <c r="H113" s="6"/>
      <c r="I113" s="1">
        <v>2025</v>
      </c>
      <c r="J113" s="2">
        <v>12</v>
      </c>
      <c r="K113" s="7"/>
      <c r="L113" s="7"/>
      <c r="M113" s="7"/>
      <c r="N113" s="7"/>
      <c r="O113" s="2">
        <v>2025</v>
      </c>
      <c r="P113" s="1">
        <v>12</v>
      </c>
      <c r="Q113" s="6"/>
      <c r="R113" s="6"/>
      <c r="S113" s="6"/>
      <c r="T113" s="6"/>
      <c r="U113" s="1">
        <v>2025</v>
      </c>
      <c r="V113" s="2">
        <v>12</v>
      </c>
      <c r="W113" s="7"/>
      <c r="X113" s="7"/>
      <c r="Y113" s="7"/>
      <c r="Z113" s="7"/>
      <c r="AA113" s="2">
        <v>2025</v>
      </c>
      <c r="AB113" s="1">
        <v>12</v>
      </c>
      <c r="AC113" s="6"/>
      <c r="AD113" s="6"/>
      <c r="AE113" s="6"/>
      <c r="AF113" s="6"/>
      <c r="AG113" s="1">
        <v>2025</v>
      </c>
      <c r="AH113" s="2">
        <v>12</v>
      </c>
      <c r="AI113" s="7"/>
      <c r="AJ113" s="7"/>
      <c r="AK113" s="7"/>
      <c r="AL113" s="7"/>
      <c r="AM113" s="2">
        <v>2025</v>
      </c>
      <c r="AN113" s="1">
        <v>12</v>
      </c>
      <c r="AO113" s="6"/>
      <c r="AP113" s="6"/>
      <c r="AQ113" s="6"/>
      <c r="AR113" s="6"/>
      <c r="AS113" s="1">
        <v>2025</v>
      </c>
      <c r="AT113" s="2">
        <v>12</v>
      </c>
      <c r="AU113" s="7"/>
      <c r="AV113" s="7"/>
      <c r="AW113" s="7"/>
      <c r="AX113" s="7"/>
      <c r="AY113" s="2">
        <v>2025</v>
      </c>
      <c r="AZ113" s="1">
        <v>12</v>
      </c>
      <c r="BA113" s="6"/>
      <c r="BB113" s="6"/>
      <c r="BC113" s="6"/>
      <c r="BD113" s="6"/>
      <c r="BE113" s="1">
        <v>2025</v>
      </c>
      <c r="BF113" s="2">
        <v>12</v>
      </c>
      <c r="BG113" s="5">
        <f t="shared" si="5"/>
        <v>0</v>
      </c>
      <c r="BH113" s="5">
        <f t="shared" si="5"/>
        <v>0</v>
      </c>
      <c r="BI113" s="5">
        <f t="shared" si="5"/>
        <v>0</v>
      </c>
      <c r="BJ113" s="5">
        <f t="shared" si="3"/>
        <v>0</v>
      </c>
      <c r="BK113" s="2">
        <v>2025</v>
      </c>
    </row>
    <row r="114" spans="1:63" x14ac:dyDescent="0.35">
      <c r="C114" s="3"/>
      <c r="E114" s="8"/>
      <c r="F114" s="8"/>
      <c r="I114" s="8"/>
      <c r="J114" s="8"/>
      <c r="M114" s="8"/>
      <c r="N114" s="8"/>
      <c r="Q114" s="8"/>
      <c r="R114" s="8"/>
      <c r="U114" s="8"/>
      <c r="V114" s="8"/>
      <c r="Y114" s="8"/>
      <c r="Z114" s="8"/>
      <c r="AC114" s="8"/>
      <c r="AD114" s="8"/>
      <c r="AG114" s="8"/>
      <c r="AH114" s="8"/>
      <c r="AK114" s="8"/>
      <c r="AL114" s="8"/>
      <c r="AT114" s="8"/>
      <c r="AW114" s="8"/>
      <c r="AX114" s="8"/>
    </row>
    <row r="115" spans="1:63" x14ac:dyDescent="0.35">
      <c r="C115" s="3"/>
      <c r="E115" s="8"/>
      <c r="F115" s="8"/>
      <c r="I115" s="8"/>
      <c r="J115" s="8"/>
      <c r="M115" s="9" t="s">
        <v>17</v>
      </c>
      <c r="O115" s="9" t="s">
        <v>18</v>
      </c>
      <c r="Q115" s="8"/>
      <c r="R115" s="8"/>
      <c r="U115" s="8"/>
      <c r="V115" s="8"/>
      <c r="Y115" s="8"/>
      <c r="Z115" s="8"/>
      <c r="AC115" s="8"/>
      <c r="AD115" s="8"/>
      <c r="AG115" s="8"/>
      <c r="AH115" s="8"/>
      <c r="AK115" s="8"/>
      <c r="AL115" s="8"/>
      <c r="AT115" s="8"/>
      <c r="AW115" s="8"/>
      <c r="AX115" s="8"/>
    </row>
    <row r="116" spans="1:63" x14ac:dyDescent="0.35">
      <c r="C116" s="3"/>
      <c r="E116" s="8"/>
      <c r="F116" s="8"/>
      <c r="I116" s="8"/>
      <c r="J116" s="8"/>
      <c r="N116" s="8"/>
      <c r="Q116" s="8"/>
      <c r="R116" s="8"/>
      <c r="U116" s="8"/>
      <c r="V116" s="8"/>
      <c r="Y116" s="8"/>
      <c r="Z116" s="8"/>
      <c r="AC116" s="8"/>
      <c r="AD116" s="8"/>
      <c r="AG116" s="8"/>
      <c r="AH116" s="8"/>
      <c r="AK116" s="8"/>
      <c r="AL116" s="8"/>
      <c r="AT116" s="8"/>
      <c r="AW116" s="8"/>
      <c r="AX116" s="8"/>
    </row>
    <row r="117" spans="1:63" x14ac:dyDescent="0.35">
      <c r="A117" t="s">
        <v>19</v>
      </c>
      <c r="B117" t="s">
        <v>20</v>
      </c>
      <c r="C117" t="s">
        <v>11</v>
      </c>
      <c r="D117" t="s">
        <v>21</v>
      </c>
      <c r="E117" t="s">
        <v>22</v>
      </c>
      <c r="F117" t="s">
        <v>23</v>
      </c>
      <c r="G117" t="s">
        <v>22</v>
      </c>
      <c r="H117" t="s">
        <v>24</v>
      </c>
      <c r="I117" t="s">
        <v>22</v>
      </c>
      <c r="J117" t="s">
        <v>25</v>
      </c>
      <c r="K117" t="s">
        <v>22</v>
      </c>
      <c r="M117" s="10" t="s">
        <v>26</v>
      </c>
      <c r="N117" t="s">
        <v>22</v>
      </c>
      <c r="O117" s="10" t="s">
        <v>27</v>
      </c>
      <c r="P117" t="s">
        <v>22</v>
      </c>
    </row>
    <row r="118" spans="1:63" x14ac:dyDescent="0.35">
      <c r="A118" t="str">
        <f>+CONCATENATE(B118&amp;"_"&amp;C118)</f>
        <v>GUARDIA ESCOLTA_1</v>
      </c>
      <c r="B118" t="s">
        <v>1</v>
      </c>
      <c r="C118">
        <v>1</v>
      </c>
      <c r="D118" s="11">
        <f>+_xlfn.MAXIFS($E$6:$E$113,$D$6:$D$113,$C118)</f>
        <v>83807</v>
      </c>
      <c r="E118">
        <f>+VLOOKUP(D118,$E$6:$I$113,5,FALSE)</f>
        <v>2020</v>
      </c>
      <c r="F118" s="11">
        <f t="shared" ref="F118:F129" si="6">+_xlfn.MAXIFS($F$6:$F$113,$D$6:$D$113,$C118)</f>
        <v>83807</v>
      </c>
      <c r="G118">
        <f t="shared" ref="G118:G129" si="7">+VLOOKUP(F118,$F$6:$I$113,4,FALSE)</f>
        <v>2020</v>
      </c>
      <c r="H118" s="11">
        <f t="shared" ref="H118:H129" si="8">+_xlfn.MAXIFS($G$6:$G$113,$D$6:$D$113,$C118)</f>
        <v>6314.2</v>
      </c>
      <c r="I118">
        <f t="shared" ref="I118:I129" si="9">+VLOOKUP(H118,$G$6:$I$113,3,FALSE)</f>
        <v>2020</v>
      </c>
      <c r="J118" s="11">
        <f t="shared" ref="J118:J129" si="10">+_xlfn.MAXIFS($H$6:$H$113,$D$6:$D$113,$C118)</f>
        <v>6314.2</v>
      </c>
      <c r="K118">
        <f t="shared" ref="K118:K129" si="11">+VLOOKUP(J118,$H$6:$I$113,2,FALSE)</f>
        <v>2020</v>
      </c>
      <c r="L118" s="11"/>
      <c r="M118" s="11">
        <f t="shared" ref="M118:M129" si="12">+_xlfn.MAXIFS($F$6:$F$113,$D$6:$D$113,$C118,$BK$6:$BK$113,"&lt;2025")</f>
        <v>83807</v>
      </c>
      <c r="N118" s="11">
        <f>+VLOOKUP(M118,$F$6:$I$113,4,FALSE)</f>
        <v>2020</v>
      </c>
      <c r="O118" s="11">
        <f t="shared" ref="O118:O129" si="13">+_xlfn.MAXIFS($H$6:$H$113,$D$6:$D$113,$C118,$BK$6:$BK$113,"&lt;2025")</f>
        <v>6314.2</v>
      </c>
      <c r="P118" s="11">
        <f>+VLOOKUP(O118,$H$6:$I$113,2,FALSE)</f>
        <v>2020</v>
      </c>
      <c r="Q118" s="12"/>
      <c r="R118" s="12"/>
      <c r="T118" s="11"/>
      <c r="V118" s="11"/>
      <c r="X118" s="11"/>
      <c r="Z118" s="11"/>
      <c r="AB118" s="11"/>
      <c r="AD118" s="11"/>
      <c r="AF118" s="11"/>
      <c r="AH118" s="11"/>
      <c r="AJ118" s="11"/>
      <c r="AL118" s="11"/>
    </row>
    <row r="119" spans="1:63" x14ac:dyDescent="0.35">
      <c r="A119" t="str">
        <f t="shared" ref="A119:A182" si="14">+CONCATENATE(B119&amp;"_"&amp;C119)</f>
        <v>GUARDIA ESCOLTA_2</v>
      </c>
      <c r="B119" t="s">
        <v>1</v>
      </c>
      <c r="C119">
        <v>2</v>
      </c>
      <c r="D119" s="11">
        <f t="shared" ref="D118:D129" si="15">+_xlfn.MAXIFS($E$6:$E$113,$D$6:$D$113,$C119)</f>
        <v>23305</v>
      </c>
      <c r="E119">
        <f t="shared" ref="E119:E129" si="16">+VLOOKUP(D119,$E$6:$I$113,5,FALSE)</f>
        <v>2021</v>
      </c>
      <c r="F119" s="11">
        <f t="shared" si="6"/>
        <v>92551</v>
      </c>
      <c r="G119">
        <f t="shared" si="7"/>
        <v>2020</v>
      </c>
      <c r="H119" s="11">
        <f t="shared" si="8"/>
        <v>5381.75</v>
      </c>
      <c r="I119">
        <f t="shared" si="9"/>
        <v>2025</v>
      </c>
      <c r="J119" s="11">
        <f t="shared" si="10"/>
        <v>9892.93</v>
      </c>
      <c r="K119">
        <f t="shared" si="11"/>
        <v>2025</v>
      </c>
      <c r="L119" s="11"/>
      <c r="M119" s="11">
        <f t="shared" si="12"/>
        <v>92551</v>
      </c>
      <c r="N119" s="11">
        <f t="shared" ref="N119:N129" si="17">+VLOOKUP(M119,$F$6:$I$113,4,FALSE)</f>
        <v>2020</v>
      </c>
      <c r="O119" s="11">
        <f t="shared" si="13"/>
        <v>9056.719000000001</v>
      </c>
      <c r="P119" s="11">
        <f t="shared" ref="P119:P129" si="18">+VLOOKUP(O119,$H$6:$I$113,2,FALSE)</f>
        <v>2022</v>
      </c>
      <c r="Q119" s="12"/>
      <c r="R119" s="12"/>
      <c r="T119" s="11"/>
      <c r="V119" s="11"/>
      <c r="X119" s="11"/>
      <c r="Z119" s="11"/>
      <c r="AB119" s="11"/>
      <c r="AD119" s="11"/>
      <c r="AF119" s="11"/>
      <c r="AH119" s="11"/>
      <c r="AJ119" s="11"/>
      <c r="AL119" s="11"/>
    </row>
    <row r="120" spans="1:63" x14ac:dyDescent="0.35">
      <c r="A120" t="str">
        <f t="shared" si="14"/>
        <v>GUARDIA ESCOLTA_3</v>
      </c>
      <c r="B120" t="s">
        <v>1</v>
      </c>
      <c r="C120">
        <v>3</v>
      </c>
      <c r="D120" s="11">
        <f t="shared" si="15"/>
        <v>27137.476999999999</v>
      </c>
      <c r="E120">
        <f t="shared" si="16"/>
        <v>2017</v>
      </c>
      <c r="F120" s="11">
        <f t="shared" si="6"/>
        <v>108100</v>
      </c>
      <c r="G120">
        <f t="shared" si="7"/>
        <v>2020</v>
      </c>
      <c r="H120" s="11">
        <f t="shared" si="8"/>
        <v>9197.4700000000012</v>
      </c>
      <c r="I120">
        <f t="shared" si="9"/>
        <v>2025</v>
      </c>
      <c r="J120" s="11">
        <f t="shared" si="10"/>
        <v>19090.400000000001</v>
      </c>
      <c r="K120">
        <f t="shared" si="11"/>
        <v>2025</v>
      </c>
      <c r="L120" s="11"/>
      <c r="M120" s="11">
        <f t="shared" si="12"/>
        <v>108100</v>
      </c>
      <c r="N120" s="11">
        <f t="shared" si="17"/>
        <v>2020</v>
      </c>
      <c r="O120" s="11">
        <f t="shared" si="13"/>
        <v>12173.09</v>
      </c>
      <c r="P120" s="11">
        <f t="shared" si="18"/>
        <v>2020</v>
      </c>
      <c r="Q120" s="12"/>
      <c r="R120" s="12"/>
      <c r="T120" s="11"/>
      <c r="V120" s="11"/>
      <c r="X120" s="11"/>
      <c r="Z120" s="11"/>
      <c r="AB120" s="11"/>
      <c r="AD120" s="11"/>
      <c r="AF120" s="11"/>
      <c r="AH120" s="11"/>
      <c r="AJ120" s="11"/>
      <c r="AL120" s="11"/>
    </row>
    <row r="121" spans="1:63" x14ac:dyDescent="0.35">
      <c r="A121" t="str">
        <f t="shared" si="14"/>
        <v>GUARDIA ESCOLTA_4</v>
      </c>
      <c r="B121" t="s">
        <v>1</v>
      </c>
      <c r="C121">
        <v>4</v>
      </c>
      <c r="D121" s="11">
        <f t="shared" si="15"/>
        <v>37284</v>
      </c>
      <c r="E121">
        <f t="shared" si="16"/>
        <v>2021</v>
      </c>
      <c r="F121" s="11">
        <f t="shared" si="6"/>
        <v>133155</v>
      </c>
      <c r="G121">
        <f t="shared" si="7"/>
        <v>2020</v>
      </c>
      <c r="H121" s="11">
        <f t="shared" si="8"/>
        <v>13928.009999999998</v>
      </c>
      <c r="I121">
        <f t="shared" si="9"/>
        <v>2020</v>
      </c>
      <c r="J121" s="11">
        <f t="shared" si="10"/>
        <v>26630.230000000003</v>
      </c>
      <c r="K121">
        <f t="shared" si="11"/>
        <v>2025</v>
      </c>
      <c r="L121" s="11"/>
      <c r="M121" s="11">
        <f t="shared" si="12"/>
        <v>133155</v>
      </c>
      <c r="N121" s="11">
        <f t="shared" si="17"/>
        <v>2020</v>
      </c>
      <c r="O121" s="11">
        <f t="shared" si="13"/>
        <v>26101.1</v>
      </c>
      <c r="P121" s="11">
        <f t="shared" si="18"/>
        <v>2020</v>
      </c>
      <c r="Q121" s="12"/>
      <c r="R121" s="12"/>
      <c r="T121" s="11"/>
      <c r="V121" s="11"/>
      <c r="X121" s="11"/>
      <c r="Z121" s="11"/>
      <c r="AB121" s="11"/>
      <c r="AD121" s="11"/>
      <c r="AF121" s="11"/>
      <c r="AH121" s="11"/>
      <c r="AJ121" s="11"/>
      <c r="AL121" s="11"/>
    </row>
    <row r="122" spans="1:63" x14ac:dyDescent="0.35">
      <c r="A122" t="str">
        <f t="shared" si="14"/>
        <v>GUARDIA ESCOLTA_5</v>
      </c>
      <c r="B122" t="s">
        <v>1</v>
      </c>
      <c r="C122">
        <v>5</v>
      </c>
      <c r="D122" s="11">
        <f t="shared" si="15"/>
        <v>36987</v>
      </c>
      <c r="E122">
        <f t="shared" si="16"/>
        <v>2021</v>
      </c>
      <c r="F122" s="11">
        <f t="shared" si="6"/>
        <v>163685</v>
      </c>
      <c r="G122">
        <f t="shared" si="7"/>
        <v>2020</v>
      </c>
      <c r="H122" s="11">
        <f t="shared" si="8"/>
        <v>24089.199999999997</v>
      </c>
      <c r="I122">
        <f t="shared" si="9"/>
        <v>2025</v>
      </c>
      <c r="J122" s="11">
        <f t="shared" si="10"/>
        <v>50719.43</v>
      </c>
      <c r="K122">
        <f t="shared" si="11"/>
        <v>2025</v>
      </c>
      <c r="L122" s="11"/>
      <c r="M122" s="11">
        <f t="shared" si="12"/>
        <v>163685</v>
      </c>
      <c r="N122" s="11">
        <f t="shared" si="17"/>
        <v>2020</v>
      </c>
      <c r="O122" s="11">
        <f t="shared" si="13"/>
        <v>36526.367050000001</v>
      </c>
      <c r="P122" s="11">
        <f t="shared" si="18"/>
        <v>2020</v>
      </c>
      <c r="Q122" s="12"/>
      <c r="R122" s="12"/>
      <c r="T122" s="11"/>
      <c r="V122" s="11"/>
      <c r="X122" s="11"/>
      <c r="Z122" s="11"/>
      <c r="AB122" s="11"/>
      <c r="AD122" s="11"/>
      <c r="AF122" s="11"/>
      <c r="AH122" s="11"/>
      <c r="AJ122" s="11"/>
      <c r="AL122" s="11"/>
    </row>
    <row r="123" spans="1:63" x14ac:dyDescent="0.35">
      <c r="A123" t="str">
        <f t="shared" si="14"/>
        <v>GUARDIA ESCOLTA_6</v>
      </c>
      <c r="B123" t="s">
        <v>1</v>
      </c>
      <c r="C123">
        <v>6</v>
      </c>
      <c r="D123" s="11">
        <f t="shared" si="15"/>
        <v>30025.648000000001</v>
      </c>
      <c r="E123">
        <f t="shared" si="16"/>
        <v>2025</v>
      </c>
      <c r="F123" s="11">
        <f t="shared" si="6"/>
        <v>184189</v>
      </c>
      <c r="G123">
        <f t="shared" si="7"/>
        <v>2020</v>
      </c>
      <c r="H123" s="11">
        <f t="shared" si="8"/>
        <v>15023.71</v>
      </c>
      <c r="I123">
        <f t="shared" si="9"/>
        <v>2025</v>
      </c>
      <c r="J123" s="11">
        <f t="shared" si="10"/>
        <v>65743.14</v>
      </c>
      <c r="K123">
        <f t="shared" si="11"/>
        <v>2025</v>
      </c>
      <c r="L123" s="11"/>
      <c r="M123" s="11">
        <f t="shared" si="12"/>
        <v>184189</v>
      </c>
      <c r="N123" s="11">
        <f t="shared" si="17"/>
        <v>2020</v>
      </c>
      <c r="O123" s="11">
        <f t="shared" si="13"/>
        <v>45521.682050000003</v>
      </c>
      <c r="P123" s="11">
        <f t="shared" si="18"/>
        <v>2020</v>
      </c>
      <c r="Q123" s="12"/>
      <c r="R123" s="12"/>
      <c r="T123" s="11"/>
      <c r="V123" s="11"/>
      <c r="X123" s="11"/>
      <c r="Z123" s="11"/>
      <c r="AB123" s="11"/>
      <c r="AD123" s="11"/>
      <c r="AF123" s="11"/>
      <c r="AH123" s="11"/>
      <c r="AJ123" s="11"/>
      <c r="AL123" s="11"/>
    </row>
    <row r="124" spans="1:63" x14ac:dyDescent="0.35">
      <c r="A124" t="str">
        <f t="shared" si="14"/>
        <v>GUARDIA ESCOLTA_7</v>
      </c>
      <c r="B124" t="s">
        <v>1</v>
      </c>
      <c r="C124">
        <v>7</v>
      </c>
      <c r="D124" s="11">
        <f t="shared" si="15"/>
        <v>24273</v>
      </c>
      <c r="E124">
        <f t="shared" si="16"/>
        <v>2020</v>
      </c>
      <c r="F124" s="11">
        <f t="shared" si="6"/>
        <v>208462</v>
      </c>
      <c r="G124">
        <f t="shared" si="7"/>
        <v>2020</v>
      </c>
      <c r="H124" s="11">
        <f t="shared" si="8"/>
        <v>13454.65</v>
      </c>
      <c r="I124">
        <f t="shared" si="9"/>
        <v>2023</v>
      </c>
      <c r="J124" s="11">
        <f t="shared" si="10"/>
        <v>74215.37</v>
      </c>
      <c r="K124">
        <f t="shared" si="11"/>
        <v>2025</v>
      </c>
      <c r="L124" s="11"/>
      <c r="M124" s="11">
        <f t="shared" si="12"/>
        <v>208462</v>
      </c>
      <c r="N124" s="11">
        <f t="shared" si="17"/>
        <v>2020</v>
      </c>
      <c r="O124" s="11">
        <f t="shared" si="13"/>
        <v>56640.702050000007</v>
      </c>
      <c r="P124" s="11">
        <f t="shared" si="18"/>
        <v>2020</v>
      </c>
      <c r="Q124" s="12"/>
      <c r="R124" s="12"/>
      <c r="T124" s="11"/>
      <c r="V124" s="11"/>
      <c r="X124" s="11"/>
      <c r="Z124" s="11"/>
      <c r="AB124" s="11"/>
      <c r="AD124" s="11"/>
      <c r="AF124" s="11"/>
      <c r="AH124" s="11"/>
      <c r="AJ124" s="11"/>
      <c r="AL124" s="11"/>
    </row>
    <row r="125" spans="1:63" x14ac:dyDescent="0.35">
      <c r="A125" t="str">
        <f t="shared" si="14"/>
        <v>GUARDIA ESCOLTA_8</v>
      </c>
      <c r="B125" t="s">
        <v>1</v>
      </c>
      <c r="C125">
        <v>8</v>
      </c>
      <c r="D125" s="11">
        <f t="shared" si="15"/>
        <v>19508</v>
      </c>
      <c r="E125">
        <f t="shared" si="16"/>
        <v>2019</v>
      </c>
      <c r="F125" s="11">
        <f t="shared" si="6"/>
        <v>218074</v>
      </c>
      <c r="G125">
        <f t="shared" si="7"/>
        <v>2020</v>
      </c>
      <c r="H125" s="11">
        <f t="shared" si="8"/>
        <v>9288.34</v>
      </c>
      <c r="I125">
        <f t="shared" si="9"/>
        <v>2023</v>
      </c>
      <c r="J125" s="11">
        <f t="shared" si="10"/>
        <v>82284.210000000006</v>
      </c>
      <c r="K125">
        <f t="shared" si="11"/>
        <v>2025</v>
      </c>
      <c r="L125" s="11"/>
      <c r="M125" s="11">
        <f t="shared" si="12"/>
        <v>218074</v>
      </c>
      <c r="N125" s="11">
        <f t="shared" si="17"/>
        <v>2020</v>
      </c>
      <c r="O125" s="11">
        <f t="shared" si="13"/>
        <v>64648.797050000008</v>
      </c>
      <c r="P125" s="11">
        <f t="shared" si="18"/>
        <v>2020</v>
      </c>
      <c r="Q125" s="12"/>
      <c r="R125" s="12"/>
      <c r="T125" s="11"/>
      <c r="V125" s="11"/>
      <c r="X125" s="11"/>
      <c r="Z125" s="11"/>
      <c r="AB125" s="11"/>
      <c r="AD125" s="11"/>
      <c r="AF125" s="11"/>
      <c r="AH125" s="11"/>
      <c r="AJ125" s="11"/>
      <c r="AL125" s="11"/>
    </row>
    <row r="126" spans="1:63" x14ac:dyDescent="0.35">
      <c r="A126" t="str">
        <f t="shared" si="14"/>
        <v>GUARDIA ESCOLTA_9</v>
      </c>
      <c r="B126" t="s">
        <v>1</v>
      </c>
      <c r="C126">
        <v>9</v>
      </c>
      <c r="D126" s="11">
        <f t="shared" si="15"/>
        <v>22610</v>
      </c>
      <c r="E126">
        <f t="shared" si="16"/>
        <v>2017</v>
      </c>
      <c r="F126" s="11">
        <f t="shared" si="6"/>
        <v>226735</v>
      </c>
      <c r="G126">
        <f t="shared" si="7"/>
        <v>2020</v>
      </c>
      <c r="H126" s="11">
        <f t="shared" si="8"/>
        <v>10722.589999999997</v>
      </c>
      <c r="I126">
        <f t="shared" si="9"/>
        <v>2025</v>
      </c>
      <c r="J126" s="11">
        <f t="shared" si="10"/>
        <v>93006.8</v>
      </c>
      <c r="K126">
        <f t="shared" si="11"/>
        <v>2025</v>
      </c>
      <c r="L126" s="11"/>
      <c r="M126" s="11">
        <f t="shared" si="12"/>
        <v>226735</v>
      </c>
      <c r="N126" s="11">
        <f t="shared" si="17"/>
        <v>2020</v>
      </c>
      <c r="O126" s="11">
        <f t="shared" si="13"/>
        <v>67797.702050000007</v>
      </c>
      <c r="P126" s="11">
        <f t="shared" si="18"/>
        <v>2020</v>
      </c>
      <c r="Q126" s="12"/>
      <c r="R126" s="12"/>
      <c r="T126" s="11"/>
      <c r="V126" s="11"/>
      <c r="X126" s="11"/>
      <c r="Z126" s="11"/>
      <c r="AB126" s="11"/>
      <c r="AD126" s="11"/>
      <c r="AF126" s="11"/>
      <c r="AH126" s="11"/>
      <c r="AJ126" s="11"/>
      <c r="AL126" s="11"/>
    </row>
    <row r="127" spans="1:63" x14ac:dyDescent="0.35">
      <c r="A127" t="str">
        <f t="shared" si="14"/>
        <v>GUARDIA ESCOLTA_10</v>
      </c>
      <c r="B127" t="s">
        <v>1</v>
      </c>
      <c r="C127">
        <v>10</v>
      </c>
      <c r="D127" s="11">
        <f t="shared" si="15"/>
        <v>9194.4629999999888</v>
      </c>
      <c r="E127">
        <f t="shared" si="16"/>
        <v>2025</v>
      </c>
      <c r="F127" s="11">
        <f t="shared" si="6"/>
        <v>235357</v>
      </c>
      <c r="G127">
        <f t="shared" si="7"/>
        <v>2020</v>
      </c>
      <c r="H127" s="11">
        <f t="shared" si="8"/>
        <v>11736.08</v>
      </c>
      <c r="I127">
        <f t="shared" si="9"/>
        <v>2024</v>
      </c>
      <c r="J127" s="11">
        <f t="shared" si="10"/>
        <v>103741.81999999999</v>
      </c>
      <c r="K127">
        <f t="shared" si="11"/>
        <v>2025</v>
      </c>
      <c r="L127" s="11"/>
      <c r="M127" s="11">
        <f t="shared" si="12"/>
        <v>235357</v>
      </c>
      <c r="N127" s="11">
        <f t="shared" si="17"/>
        <v>2020</v>
      </c>
      <c r="O127" s="11">
        <f t="shared" si="13"/>
        <v>75374.23000000001</v>
      </c>
      <c r="P127" s="11">
        <f t="shared" si="18"/>
        <v>2024</v>
      </c>
      <c r="Q127" s="12"/>
      <c r="R127" s="12"/>
      <c r="T127" s="11"/>
      <c r="V127" s="11"/>
      <c r="X127" s="11"/>
      <c r="Z127" s="11"/>
      <c r="AB127" s="11"/>
      <c r="AD127" s="11"/>
      <c r="AF127" s="11"/>
      <c r="AH127" s="11"/>
      <c r="AJ127" s="11"/>
      <c r="AL127" s="11"/>
    </row>
    <row r="128" spans="1:63" x14ac:dyDescent="0.35">
      <c r="A128" t="str">
        <f t="shared" si="14"/>
        <v>GUARDIA ESCOLTA_11</v>
      </c>
      <c r="B128" t="s">
        <v>1</v>
      </c>
      <c r="C128">
        <v>11</v>
      </c>
      <c r="D128" s="11">
        <f t="shared" si="15"/>
        <v>30294</v>
      </c>
      <c r="E128">
        <f t="shared" si="16"/>
        <v>2017</v>
      </c>
      <c r="F128" s="11">
        <f t="shared" si="6"/>
        <v>248771</v>
      </c>
      <c r="G128">
        <f t="shared" si="7"/>
        <v>2020</v>
      </c>
      <c r="H128" s="11">
        <f t="shared" si="8"/>
        <v>13364.200000000004</v>
      </c>
      <c r="I128">
        <f t="shared" si="9"/>
        <v>2017</v>
      </c>
      <c r="J128" s="11">
        <f t="shared" si="10"/>
        <v>81081.712050000002</v>
      </c>
      <c r="K128">
        <f t="shared" si="11"/>
        <v>2020</v>
      </c>
      <c r="L128" s="11"/>
      <c r="M128" s="11">
        <f t="shared" si="12"/>
        <v>248771</v>
      </c>
      <c r="N128" s="11">
        <f t="shared" si="17"/>
        <v>2020</v>
      </c>
      <c r="O128" s="11">
        <f t="shared" si="13"/>
        <v>81081.712050000002</v>
      </c>
      <c r="P128" s="11">
        <f t="shared" si="18"/>
        <v>2020</v>
      </c>
      <c r="Q128" s="12"/>
      <c r="R128" s="12"/>
      <c r="T128" s="11"/>
      <c r="V128" s="11"/>
      <c r="X128" s="11"/>
      <c r="Z128" s="11"/>
      <c r="AB128" s="11"/>
      <c r="AD128" s="11"/>
      <c r="AF128" s="11"/>
      <c r="AH128" s="11"/>
      <c r="AJ128" s="11"/>
      <c r="AL128" s="11"/>
    </row>
    <row r="129" spans="1:38" x14ac:dyDescent="0.35">
      <c r="A129" t="str">
        <f t="shared" si="14"/>
        <v>GUARDIA ESCOLTA_12</v>
      </c>
      <c r="B129" t="s">
        <v>1</v>
      </c>
      <c r="C129">
        <v>12</v>
      </c>
      <c r="D129" s="11">
        <f t="shared" si="15"/>
        <v>8690</v>
      </c>
      <c r="E129">
        <f t="shared" si="16"/>
        <v>2021</v>
      </c>
      <c r="F129" s="11">
        <f t="shared" si="6"/>
        <v>253189</v>
      </c>
      <c r="G129">
        <f t="shared" si="7"/>
        <v>2020</v>
      </c>
      <c r="H129" s="11">
        <f t="shared" si="8"/>
        <v>6064.24</v>
      </c>
      <c r="I129">
        <f t="shared" si="9"/>
        <v>2024</v>
      </c>
      <c r="J129" s="11">
        <f t="shared" si="10"/>
        <v>85033.030000000013</v>
      </c>
      <c r="K129">
        <f t="shared" si="11"/>
        <v>2024</v>
      </c>
      <c r="L129" s="11"/>
      <c r="M129" s="11">
        <f t="shared" si="12"/>
        <v>253189</v>
      </c>
      <c r="N129" s="11">
        <f t="shared" si="17"/>
        <v>2020</v>
      </c>
      <c r="O129" s="11">
        <f t="shared" si="13"/>
        <v>85033.030000000013</v>
      </c>
      <c r="P129" s="11">
        <f t="shared" si="18"/>
        <v>2024</v>
      </c>
      <c r="Q129" s="12"/>
      <c r="R129" s="12"/>
      <c r="T129" s="11"/>
      <c r="V129" s="11"/>
      <c r="X129" s="11"/>
      <c r="Z129" s="11"/>
      <c r="AB129" s="11"/>
      <c r="AD129" s="11"/>
      <c r="AF129" s="11"/>
      <c r="AH129" s="11"/>
      <c r="AJ129" s="11"/>
      <c r="AL129" s="11"/>
    </row>
    <row r="130" spans="1:38" x14ac:dyDescent="0.35">
      <c r="A130" t="str">
        <f t="shared" si="14"/>
        <v>ITIN_1</v>
      </c>
      <c r="B130" t="s">
        <v>2</v>
      </c>
      <c r="C130">
        <v>1</v>
      </c>
      <c r="D130" s="11">
        <f t="shared" ref="D130:D141" si="19">+_xlfn.MAXIFS($K$6:$K$113,$J$6:$J$113,$C130)</f>
        <v>45978</v>
      </c>
      <c r="E130">
        <f t="shared" ref="E130:E141" si="20">+VLOOKUP(D130,$K$6:$O$113,5,FALSE)</f>
        <v>2020</v>
      </c>
      <c r="F130" s="11">
        <f t="shared" ref="F130:F141" si="21">+_xlfn.MAXIFS($L$6:$L$113,$J$6:$J$113,$C130)</f>
        <v>45978</v>
      </c>
      <c r="G130">
        <f t="shared" ref="G130:G141" si="22">+VLOOKUP(F130,$L$6:$O$113,4,FALSE)</f>
        <v>2020</v>
      </c>
      <c r="H130" s="11">
        <f t="shared" ref="H130:H141" si="23">+_xlfn.MAXIFS($M$6:$M$113,$J$6:$J$113,$C130)</f>
        <v>13804.880000000001</v>
      </c>
      <c r="I130">
        <f t="shared" ref="I130:I141" si="24">+VLOOKUP(H130,$M$6:$O$113,3,FALSE)</f>
        <v>2025</v>
      </c>
      <c r="J130" s="11">
        <f t="shared" ref="J130:J141" si="25">+_xlfn.MAXIFS($N$6:$N$113,$J$6:$J$113,$C130)</f>
        <v>13804.880000000001</v>
      </c>
      <c r="K130">
        <f t="shared" ref="K130:K141" si="26">+VLOOKUP(J130,$N$6:$O$113,2,FALSE)</f>
        <v>2025</v>
      </c>
      <c r="M130" s="11">
        <f t="shared" ref="M130:M141" si="27">+_xlfn.MAXIFS($L$6:$L$113,$D$6:$D$113,$C130,$BK$6:$BK$113,"&lt;2025")</f>
        <v>45978</v>
      </c>
      <c r="N130" s="11">
        <f>+VLOOKUP(M130,$L$6:$O$113,4,FALSE)</f>
        <v>2020</v>
      </c>
      <c r="O130" s="11">
        <f t="shared" ref="O130:O141" si="28">+_xlfn.MAXIFS($N$6:$N$113,$J$6:$J$113,$C130,$BK$6:$BK$113,"&lt;2025")</f>
        <v>5471.22</v>
      </c>
      <c r="P130" s="11">
        <f>+VLOOKUP(O130,$N$6:$O$113,2,FALSE)</f>
        <v>2020</v>
      </c>
      <c r="Q130" s="12"/>
      <c r="R130" s="12"/>
    </row>
    <row r="131" spans="1:38" x14ac:dyDescent="0.35">
      <c r="A131" t="str">
        <f t="shared" si="14"/>
        <v>ITIN_2</v>
      </c>
      <c r="B131" t="s">
        <v>2</v>
      </c>
      <c r="C131">
        <v>2</v>
      </c>
      <c r="D131" s="11">
        <f t="shared" si="19"/>
        <v>11502.396999999997</v>
      </c>
      <c r="E131">
        <f t="shared" si="20"/>
        <v>2018</v>
      </c>
      <c r="F131" s="11">
        <f t="shared" si="21"/>
        <v>47301</v>
      </c>
      <c r="G131">
        <f t="shared" si="22"/>
        <v>2020</v>
      </c>
      <c r="H131" s="11">
        <f t="shared" si="23"/>
        <v>4306.2299999999996</v>
      </c>
      <c r="I131">
        <f t="shared" si="24"/>
        <v>2025</v>
      </c>
      <c r="J131" s="11">
        <f t="shared" si="25"/>
        <v>18111.11</v>
      </c>
      <c r="K131">
        <f t="shared" si="26"/>
        <v>2025</v>
      </c>
      <c r="M131" s="11">
        <f t="shared" si="27"/>
        <v>47301</v>
      </c>
      <c r="N131" s="11">
        <f t="shared" ref="N131:N141" si="29">+VLOOKUP(M131,$L$6:$O$113,4,FALSE)</f>
        <v>2020</v>
      </c>
      <c r="O131" s="11">
        <f t="shared" si="28"/>
        <v>7009.35</v>
      </c>
      <c r="P131" s="11">
        <f t="shared" ref="P131:P141" si="30">+VLOOKUP(O131,$N$6:$O$113,2,FALSE)</f>
        <v>2020</v>
      </c>
      <c r="Q131" s="12"/>
      <c r="R131" s="12"/>
    </row>
    <row r="132" spans="1:38" x14ac:dyDescent="0.35">
      <c r="A132" t="str">
        <f t="shared" si="14"/>
        <v>ITIN_3</v>
      </c>
      <c r="B132" t="s">
        <v>2</v>
      </c>
      <c r="C132">
        <v>3</v>
      </c>
      <c r="D132" s="11">
        <f t="shared" si="19"/>
        <v>16335</v>
      </c>
      <c r="E132">
        <f t="shared" si="20"/>
        <v>2024</v>
      </c>
      <c r="F132" s="11">
        <f t="shared" si="21"/>
        <v>57776</v>
      </c>
      <c r="G132">
        <f t="shared" si="22"/>
        <v>2022</v>
      </c>
      <c r="H132" s="11">
        <f t="shared" si="23"/>
        <v>1882</v>
      </c>
      <c r="I132">
        <f t="shared" si="24"/>
        <v>2019</v>
      </c>
      <c r="J132" s="11">
        <f t="shared" si="25"/>
        <v>18135.84</v>
      </c>
      <c r="K132">
        <f t="shared" si="26"/>
        <v>2025</v>
      </c>
      <c r="M132" s="11">
        <f t="shared" si="27"/>
        <v>57776</v>
      </c>
      <c r="N132" s="11">
        <f t="shared" si="29"/>
        <v>2022</v>
      </c>
      <c r="O132" s="11">
        <f t="shared" si="28"/>
        <v>7867</v>
      </c>
      <c r="P132" s="11">
        <f t="shared" si="30"/>
        <v>2019</v>
      </c>
      <c r="Q132" s="12"/>
      <c r="R132" s="12"/>
    </row>
    <row r="133" spans="1:38" x14ac:dyDescent="0.35">
      <c r="A133" t="str">
        <f t="shared" si="14"/>
        <v>ITIN_4</v>
      </c>
      <c r="B133" t="s">
        <v>2</v>
      </c>
      <c r="C133">
        <v>4</v>
      </c>
      <c r="D133" s="11">
        <f t="shared" si="19"/>
        <v>34650</v>
      </c>
      <c r="E133">
        <f t="shared" si="20"/>
        <v>2022</v>
      </c>
      <c r="F133" s="11">
        <f t="shared" si="21"/>
        <v>92426</v>
      </c>
      <c r="G133">
        <f t="shared" si="22"/>
        <v>2022</v>
      </c>
      <c r="H133" s="11">
        <f t="shared" si="23"/>
        <v>6638.0000000000009</v>
      </c>
      <c r="I133">
        <f t="shared" si="24"/>
        <v>2020</v>
      </c>
      <c r="J133" s="11">
        <f t="shared" si="25"/>
        <v>19023.599999999999</v>
      </c>
      <c r="K133">
        <f t="shared" si="26"/>
        <v>2025</v>
      </c>
      <c r="M133" s="11">
        <f t="shared" si="27"/>
        <v>92426</v>
      </c>
      <c r="N133" s="11">
        <f t="shared" si="29"/>
        <v>2022</v>
      </c>
      <c r="O133" s="11">
        <f t="shared" si="28"/>
        <v>13748.54</v>
      </c>
      <c r="P133" s="11">
        <f t="shared" si="30"/>
        <v>2020</v>
      </c>
      <c r="Q133" s="12"/>
      <c r="R133" s="12"/>
    </row>
    <row r="134" spans="1:38" x14ac:dyDescent="0.35">
      <c r="A134" t="str">
        <f t="shared" si="14"/>
        <v>ITIN_5</v>
      </c>
      <c r="B134" t="s">
        <v>2</v>
      </c>
      <c r="C134">
        <v>5</v>
      </c>
      <c r="D134" s="11">
        <f t="shared" si="19"/>
        <v>32285</v>
      </c>
      <c r="E134">
        <f t="shared" si="20"/>
        <v>2022</v>
      </c>
      <c r="F134" s="11">
        <f t="shared" si="21"/>
        <v>124711</v>
      </c>
      <c r="G134">
        <f t="shared" si="22"/>
        <v>2022</v>
      </c>
      <c r="H134" s="11">
        <f t="shared" si="23"/>
        <v>16089.15</v>
      </c>
      <c r="I134">
        <f t="shared" si="24"/>
        <v>2024</v>
      </c>
      <c r="J134" s="11">
        <f t="shared" si="25"/>
        <v>27513.996499999976</v>
      </c>
      <c r="K134">
        <f t="shared" si="26"/>
        <v>2022</v>
      </c>
      <c r="M134" s="11">
        <f t="shared" si="27"/>
        <v>124711</v>
      </c>
      <c r="N134" s="11">
        <f t="shared" si="29"/>
        <v>2022</v>
      </c>
      <c r="O134" s="11">
        <f t="shared" si="28"/>
        <v>27513.996499999976</v>
      </c>
      <c r="P134" s="11">
        <f t="shared" si="30"/>
        <v>2022</v>
      </c>
      <c r="Q134" s="12"/>
      <c r="R134" s="12"/>
    </row>
    <row r="135" spans="1:38" x14ac:dyDescent="0.35">
      <c r="A135" t="str">
        <f t="shared" si="14"/>
        <v>ITIN_6</v>
      </c>
      <c r="B135" t="s">
        <v>2</v>
      </c>
      <c r="C135">
        <v>6</v>
      </c>
      <c r="D135" s="11">
        <f t="shared" si="19"/>
        <v>19173</v>
      </c>
      <c r="E135">
        <f t="shared" si="20"/>
        <v>2021</v>
      </c>
      <c r="F135" s="11">
        <f t="shared" si="21"/>
        <v>141148</v>
      </c>
      <c r="G135">
        <f t="shared" si="22"/>
        <v>2022</v>
      </c>
      <c r="H135" s="11">
        <f t="shared" si="23"/>
        <v>13691.699999999999</v>
      </c>
      <c r="I135">
        <f t="shared" si="24"/>
        <v>2024</v>
      </c>
      <c r="J135" s="11">
        <f t="shared" si="25"/>
        <v>39628.53</v>
      </c>
      <c r="K135">
        <f t="shared" si="26"/>
        <v>2024</v>
      </c>
      <c r="M135" s="11">
        <f t="shared" si="27"/>
        <v>141148</v>
      </c>
      <c r="N135" s="11">
        <f t="shared" si="29"/>
        <v>2022</v>
      </c>
      <c r="O135" s="11">
        <f t="shared" si="28"/>
        <v>39628.53</v>
      </c>
      <c r="P135" s="11">
        <f t="shared" si="30"/>
        <v>2024</v>
      </c>
      <c r="Q135" s="12"/>
      <c r="R135" s="12"/>
    </row>
    <row r="136" spans="1:38" x14ac:dyDescent="0.35">
      <c r="A136" t="str">
        <f t="shared" si="14"/>
        <v>ITIN_7</v>
      </c>
      <c r="B136" t="s">
        <v>2</v>
      </c>
      <c r="C136">
        <v>7</v>
      </c>
      <c r="D136" s="11">
        <f t="shared" si="19"/>
        <v>25728.156000000003</v>
      </c>
      <c r="E136">
        <f t="shared" si="20"/>
        <v>2017</v>
      </c>
      <c r="F136" s="11">
        <f t="shared" si="21"/>
        <v>150040</v>
      </c>
      <c r="G136">
        <f t="shared" si="22"/>
        <v>2022</v>
      </c>
      <c r="H136" s="11">
        <f t="shared" si="23"/>
        <v>13578.329999999998</v>
      </c>
      <c r="I136">
        <f t="shared" si="24"/>
        <v>2023</v>
      </c>
      <c r="J136" s="11">
        <f t="shared" si="25"/>
        <v>46412.06</v>
      </c>
      <c r="K136">
        <f t="shared" si="26"/>
        <v>2024</v>
      </c>
      <c r="M136" s="11">
        <f t="shared" si="27"/>
        <v>150040</v>
      </c>
      <c r="N136" s="11">
        <f t="shared" si="29"/>
        <v>2022</v>
      </c>
      <c r="O136" s="11">
        <f t="shared" si="28"/>
        <v>46412.06</v>
      </c>
      <c r="P136" s="11">
        <f t="shared" si="30"/>
        <v>2024</v>
      </c>
      <c r="Q136" s="12"/>
      <c r="R136" s="12"/>
    </row>
    <row r="137" spans="1:38" x14ac:dyDescent="0.35">
      <c r="A137" t="str">
        <f t="shared" si="14"/>
        <v>ITIN_8</v>
      </c>
      <c r="B137" t="s">
        <v>2</v>
      </c>
      <c r="C137">
        <v>8</v>
      </c>
      <c r="D137" s="11">
        <f t="shared" si="19"/>
        <v>18807.516000000003</v>
      </c>
      <c r="E137">
        <f t="shared" si="20"/>
        <v>2025</v>
      </c>
      <c r="F137" s="11">
        <f t="shared" si="21"/>
        <v>163358</v>
      </c>
      <c r="G137">
        <f t="shared" si="22"/>
        <v>2022</v>
      </c>
      <c r="H137" s="11">
        <f t="shared" si="23"/>
        <v>11922.190000000002</v>
      </c>
      <c r="I137">
        <f t="shared" si="24"/>
        <v>2025</v>
      </c>
      <c r="J137" s="11">
        <f t="shared" si="25"/>
        <v>50247.77</v>
      </c>
      <c r="K137">
        <f t="shared" si="26"/>
        <v>2025</v>
      </c>
      <c r="M137" s="11">
        <f t="shared" si="27"/>
        <v>163358</v>
      </c>
      <c r="N137" s="11">
        <f t="shared" si="29"/>
        <v>2022</v>
      </c>
      <c r="O137" s="11">
        <f t="shared" si="28"/>
        <v>50195.509999999995</v>
      </c>
      <c r="P137" s="11">
        <f t="shared" si="30"/>
        <v>2024</v>
      </c>
      <c r="Q137" s="12"/>
      <c r="R137" s="12"/>
    </row>
    <row r="138" spans="1:38" x14ac:dyDescent="0.35">
      <c r="A138" t="str">
        <f t="shared" si="14"/>
        <v>ITIN_9</v>
      </c>
      <c r="B138" t="s">
        <v>2</v>
      </c>
      <c r="C138">
        <v>9</v>
      </c>
      <c r="D138" s="11">
        <f t="shared" si="19"/>
        <v>14721</v>
      </c>
      <c r="E138">
        <f t="shared" si="20"/>
        <v>2017</v>
      </c>
      <c r="F138" s="11">
        <f t="shared" si="21"/>
        <v>174537</v>
      </c>
      <c r="G138">
        <f t="shared" si="22"/>
        <v>2022</v>
      </c>
      <c r="H138" s="11">
        <f t="shared" si="23"/>
        <v>8650.5800000000017</v>
      </c>
      <c r="I138">
        <f t="shared" si="24"/>
        <v>2025</v>
      </c>
      <c r="J138" s="11">
        <f t="shared" si="25"/>
        <v>58898.35</v>
      </c>
      <c r="K138">
        <f t="shared" si="26"/>
        <v>2025</v>
      </c>
      <c r="M138" s="11">
        <f t="shared" si="27"/>
        <v>174537</v>
      </c>
      <c r="N138" s="11">
        <f t="shared" si="29"/>
        <v>2022</v>
      </c>
      <c r="O138" s="11">
        <f t="shared" si="28"/>
        <v>56471.56</v>
      </c>
      <c r="P138" s="11">
        <f t="shared" si="30"/>
        <v>2024</v>
      </c>
      <c r="Q138" s="12"/>
      <c r="R138" s="12"/>
    </row>
    <row r="139" spans="1:38" x14ac:dyDescent="0.35">
      <c r="A139" t="str">
        <f t="shared" si="14"/>
        <v>ITIN_10</v>
      </c>
      <c r="B139" t="s">
        <v>2</v>
      </c>
      <c r="C139">
        <v>10</v>
      </c>
      <c r="D139" s="11">
        <f t="shared" si="19"/>
        <v>34173.867999999988</v>
      </c>
      <c r="E139">
        <f t="shared" si="20"/>
        <v>2025</v>
      </c>
      <c r="F139" s="11">
        <f t="shared" si="21"/>
        <v>178566</v>
      </c>
      <c r="G139">
        <f t="shared" si="22"/>
        <v>2022</v>
      </c>
      <c r="H139" s="11">
        <f t="shared" si="23"/>
        <v>11289.86</v>
      </c>
      <c r="I139">
        <f t="shared" si="24"/>
        <v>2024</v>
      </c>
      <c r="J139" s="11">
        <f t="shared" si="25"/>
        <v>69040.59</v>
      </c>
      <c r="K139">
        <f t="shared" si="26"/>
        <v>2025</v>
      </c>
      <c r="M139" s="11">
        <f t="shared" si="27"/>
        <v>178566</v>
      </c>
      <c r="N139" s="11">
        <f t="shared" si="29"/>
        <v>2022</v>
      </c>
      <c r="O139" s="11">
        <f t="shared" si="28"/>
        <v>67761.42</v>
      </c>
      <c r="P139" s="11">
        <f t="shared" si="30"/>
        <v>2024</v>
      </c>
      <c r="Q139" s="12"/>
      <c r="R139" s="12"/>
    </row>
    <row r="140" spans="1:38" x14ac:dyDescent="0.35">
      <c r="A140" t="str">
        <f t="shared" si="14"/>
        <v>ITIN_11</v>
      </c>
      <c r="B140" t="s">
        <v>2</v>
      </c>
      <c r="C140">
        <v>11</v>
      </c>
      <c r="D140" s="11">
        <f t="shared" si="19"/>
        <v>10701</v>
      </c>
      <c r="E140">
        <f t="shared" si="20"/>
        <v>2019</v>
      </c>
      <c r="F140" s="11">
        <f t="shared" si="21"/>
        <v>186790</v>
      </c>
      <c r="G140">
        <f t="shared" si="22"/>
        <v>2022</v>
      </c>
      <c r="H140" s="11">
        <f t="shared" si="23"/>
        <v>9754.0999999999985</v>
      </c>
      <c r="I140">
        <f t="shared" si="24"/>
        <v>2022</v>
      </c>
      <c r="J140" s="11">
        <f t="shared" si="25"/>
        <v>75412.05</v>
      </c>
      <c r="K140">
        <f t="shared" si="26"/>
        <v>2024</v>
      </c>
      <c r="M140" s="11">
        <f t="shared" si="27"/>
        <v>186790</v>
      </c>
      <c r="N140" s="11">
        <f t="shared" si="29"/>
        <v>2022</v>
      </c>
      <c r="O140" s="11">
        <f t="shared" si="28"/>
        <v>75412.05</v>
      </c>
      <c r="P140" s="11">
        <f t="shared" si="30"/>
        <v>2024</v>
      </c>
      <c r="Q140" s="12"/>
      <c r="R140" s="12"/>
    </row>
    <row r="141" spans="1:38" x14ac:dyDescent="0.35">
      <c r="A141" t="str">
        <f t="shared" si="14"/>
        <v>ITIN_12</v>
      </c>
      <c r="B141" t="s">
        <v>2</v>
      </c>
      <c r="C141">
        <v>12</v>
      </c>
      <c r="D141" s="11">
        <f t="shared" si="19"/>
        <v>13926</v>
      </c>
      <c r="E141">
        <f t="shared" si="20"/>
        <v>2018</v>
      </c>
      <c r="F141" s="11">
        <f t="shared" si="21"/>
        <v>193358</v>
      </c>
      <c r="G141">
        <f t="shared" si="22"/>
        <v>2022</v>
      </c>
      <c r="H141" s="11">
        <f t="shared" si="23"/>
        <v>7004.74</v>
      </c>
      <c r="I141">
        <f t="shared" si="24"/>
        <v>2024</v>
      </c>
      <c r="J141" s="11">
        <f t="shared" si="25"/>
        <v>82416.790000000008</v>
      </c>
      <c r="K141">
        <f t="shared" si="26"/>
        <v>2024</v>
      </c>
      <c r="M141" s="11">
        <f t="shared" si="27"/>
        <v>193358</v>
      </c>
      <c r="N141" s="11">
        <f t="shared" si="29"/>
        <v>2022</v>
      </c>
      <c r="O141" s="11">
        <f t="shared" si="28"/>
        <v>82416.790000000008</v>
      </c>
      <c r="P141" s="11">
        <f t="shared" si="30"/>
        <v>2024</v>
      </c>
      <c r="Q141" s="12"/>
      <c r="R141" s="12"/>
    </row>
    <row r="142" spans="1:38" x14ac:dyDescent="0.35">
      <c r="A142" t="str">
        <f t="shared" si="14"/>
        <v>LAS VARILLAS_1</v>
      </c>
      <c r="B142" t="s">
        <v>3</v>
      </c>
      <c r="C142">
        <v>1</v>
      </c>
      <c r="D142" s="11">
        <f t="shared" ref="D142:D153" si="31">+_xlfn.MAXIFS($Q$6:$Q$113,$P$6:$P$113,$C142)</f>
        <v>63532</v>
      </c>
      <c r="E142">
        <f t="shared" ref="E142:E153" si="32">+VLOOKUP(D142,$Q$6:$U$113,5,FALSE)</f>
        <v>2021</v>
      </c>
      <c r="F142" s="11">
        <f t="shared" ref="F142:F153" si="33">+_xlfn.MAXIFS($R$6:$R$113,$P$6:$P$113,$C142)</f>
        <v>63532</v>
      </c>
      <c r="G142">
        <f t="shared" ref="G142:G153" si="34">+VLOOKUP(F142,$R$6:$U$113,4,FALSE)</f>
        <v>2021</v>
      </c>
      <c r="H142" s="11">
        <f t="shared" ref="H142:H153" si="35">+_xlfn.MAXIFS($S$6:$S$113,$P$6:$P$113,$C142)</f>
        <v>3464.85</v>
      </c>
      <c r="I142">
        <f t="shared" ref="I142:I153" si="36">+VLOOKUP(H142,$S$6:$U$113,3,FALSE)</f>
        <v>2024</v>
      </c>
      <c r="J142" s="11">
        <f t="shared" ref="J142:J153" si="37">+_xlfn.MAXIFS($T$6:$T$113,$P$6:$P$113,$C142)</f>
        <v>3464.85</v>
      </c>
      <c r="K142">
        <f t="shared" ref="K142:K153" si="38">+VLOOKUP(J142,$T$6:$U$113,2,FALSE)</f>
        <v>2024</v>
      </c>
      <c r="M142" s="11">
        <f t="shared" ref="M142:M153" si="39">+_xlfn.MAXIFS($R$6:$R$113,$D$6:$D$113,$C142,$BK$6:$BK$113,"&lt;2025")</f>
        <v>63532</v>
      </c>
      <c r="N142" s="11">
        <f>+VLOOKUP(M142,$R$6:$U$113,4,FALSE)</f>
        <v>2021</v>
      </c>
      <c r="O142" s="11">
        <f t="shared" ref="O142:O153" si="40">+_xlfn.MAXIFS($T$6:$T$113,$P$6:$P$113,$C142,$BK$6:$BK$113,"&lt;2025")</f>
        <v>3464.85</v>
      </c>
      <c r="P142" s="11">
        <f>+VLOOKUP(O142,$T$6:$U$113,2,FALSE)</f>
        <v>2024</v>
      </c>
      <c r="Q142" s="12"/>
      <c r="R142" s="12"/>
    </row>
    <row r="143" spans="1:38" x14ac:dyDescent="0.35">
      <c r="A143" t="str">
        <f t="shared" si="14"/>
        <v>LAS VARILLAS_2</v>
      </c>
      <c r="B143" t="s">
        <v>3</v>
      </c>
      <c r="C143">
        <v>2</v>
      </c>
      <c r="D143" s="11">
        <f t="shared" si="31"/>
        <v>12473.481999999996</v>
      </c>
      <c r="E143">
        <f t="shared" si="32"/>
        <v>2025</v>
      </c>
      <c r="F143" s="11">
        <f t="shared" si="33"/>
        <v>69684</v>
      </c>
      <c r="G143">
        <f t="shared" si="34"/>
        <v>2021</v>
      </c>
      <c r="H143" s="11">
        <f t="shared" si="35"/>
        <v>4881.7099999999991</v>
      </c>
      <c r="I143">
        <f t="shared" si="36"/>
        <v>2025</v>
      </c>
      <c r="J143" s="11">
        <f t="shared" si="37"/>
        <v>7888.73</v>
      </c>
      <c r="K143">
        <f t="shared" si="38"/>
        <v>2025</v>
      </c>
      <c r="M143" s="11">
        <f t="shared" si="39"/>
        <v>69684</v>
      </c>
      <c r="N143" s="11">
        <f t="shared" ref="N143:N153" si="41">+VLOOKUP(M143,$R$6:$U$113,4,FALSE)</f>
        <v>2021</v>
      </c>
      <c r="O143" s="11">
        <f t="shared" si="40"/>
        <v>5027.57</v>
      </c>
      <c r="P143" s="11">
        <f t="shared" ref="P143:P153" si="42">+VLOOKUP(O143,$T$6:$U$113,2,FALSE)</f>
        <v>2024</v>
      </c>
      <c r="Q143" s="12"/>
      <c r="R143" s="12"/>
    </row>
    <row r="144" spans="1:38" x14ac:dyDescent="0.35">
      <c r="A144" t="str">
        <f t="shared" si="14"/>
        <v>LAS VARILLAS_3</v>
      </c>
      <c r="B144" t="s">
        <v>3</v>
      </c>
      <c r="C144">
        <v>3</v>
      </c>
      <c r="D144" s="11">
        <f t="shared" si="31"/>
        <v>21122.767999999996</v>
      </c>
      <c r="E144">
        <f t="shared" si="32"/>
        <v>2017</v>
      </c>
      <c r="F144" s="11">
        <f t="shared" si="33"/>
        <v>82460</v>
      </c>
      <c r="G144">
        <f t="shared" si="34"/>
        <v>2020</v>
      </c>
      <c r="H144" s="11">
        <f t="shared" si="35"/>
        <v>2628.5</v>
      </c>
      <c r="I144">
        <f t="shared" si="36"/>
        <v>2019</v>
      </c>
      <c r="J144" s="11">
        <f t="shared" si="37"/>
        <v>9906.75</v>
      </c>
      <c r="K144">
        <f t="shared" si="38"/>
        <v>2025</v>
      </c>
      <c r="M144" s="11">
        <f t="shared" si="39"/>
        <v>82460</v>
      </c>
      <c r="N144" s="11">
        <f t="shared" si="41"/>
        <v>2020</v>
      </c>
      <c r="O144" s="11">
        <f t="shared" si="40"/>
        <v>5658.5499999999993</v>
      </c>
      <c r="P144" s="11">
        <f t="shared" si="42"/>
        <v>2024</v>
      </c>
      <c r="Q144" s="12"/>
      <c r="R144" s="12"/>
    </row>
    <row r="145" spans="1:18" x14ac:dyDescent="0.35">
      <c r="A145" t="str">
        <f t="shared" si="14"/>
        <v>LAS VARILLAS_4</v>
      </c>
      <c r="B145" t="s">
        <v>3</v>
      </c>
      <c r="C145">
        <v>4</v>
      </c>
      <c r="D145" s="11">
        <f t="shared" si="31"/>
        <v>35683.103000000003</v>
      </c>
      <c r="E145">
        <f t="shared" si="32"/>
        <v>2025</v>
      </c>
      <c r="F145" s="11">
        <f t="shared" si="33"/>
        <v>107909</v>
      </c>
      <c r="G145">
        <f t="shared" si="34"/>
        <v>2020</v>
      </c>
      <c r="H145" s="11">
        <f t="shared" si="35"/>
        <v>13511</v>
      </c>
      <c r="I145">
        <f t="shared" si="36"/>
        <v>2018</v>
      </c>
      <c r="J145" s="11">
        <f t="shared" si="37"/>
        <v>18465.86</v>
      </c>
      <c r="K145">
        <f t="shared" si="38"/>
        <v>2025</v>
      </c>
      <c r="M145" s="11">
        <f t="shared" si="39"/>
        <v>107909</v>
      </c>
      <c r="N145" s="11">
        <f t="shared" si="41"/>
        <v>2020</v>
      </c>
      <c r="O145" s="11">
        <f t="shared" si="40"/>
        <v>13697.6</v>
      </c>
      <c r="P145" s="11">
        <f t="shared" si="42"/>
        <v>2020</v>
      </c>
      <c r="Q145" s="12"/>
      <c r="R145" s="12"/>
    </row>
    <row r="146" spans="1:18" x14ac:dyDescent="0.35">
      <c r="A146" t="str">
        <f t="shared" si="14"/>
        <v>LAS VARILLAS_5</v>
      </c>
      <c r="B146" t="s">
        <v>3</v>
      </c>
      <c r="C146">
        <v>5</v>
      </c>
      <c r="D146" s="11">
        <f t="shared" si="31"/>
        <v>28885</v>
      </c>
      <c r="E146">
        <f t="shared" si="32"/>
        <v>2020</v>
      </c>
      <c r="F146" s="11">
        <f t="shared" si="33"/>
        <v>136794</v>
      </c>
      <c r="G146">
        <f t="shared" si="34"/>
        <v>2020</v>
      </c>
      <c r="H146" s="11">
        <f t="shared" si="35"/>
        <v>7602.27</v>
      </c>
      <c r="I146">
        <f t="shared" si="36"/>
        <v>2025</v>
      </c>
      <c r="J146" s="11">
        <f t="shared" si="37"/>
        <v>26068.13</v>
      </c>
      <c r="K146">
        <f t="shared" si="38"/>
        <v>2025</v>
      </c>
      <c r="M146" s="11">
        <f t="shared" si="39"/>
        <v>136794</v>
      </c>
      <c r="N146" s="11">
        <f t="shared" si="41"/>
        <v>2020</v>
      </c>
      <c r="O146" s="11">
        <f t="shared" si="40"/>
        <v>15609.845870000001</v>
      </c>
      <c r="P146" s="11">
        <f t="shared" si="42"/>
        <v>2020</v>
      </c>
      <c r="Q146" s="12"/>
      <c r="R146" s="12"/>
    </row>
    <row r="147" spans="1:18" x14ac:dyDescent="0.35">
      <c r="A147" t="str">
        <f t="shared" si="14"/>
        <v>LAS VARILLAS_6</v>
      </c>
      <c r="B147" t="s">
        <v>3</v>
      </c>
      <c r="C147">
        <v>6</v>
      </c>
      <c r="D147" s="11">
        <f t="shared" si="31"/>
        <v>36693.28200000005</v>
      </c>
      <c r="E147">
        <f t="shared" si="32"/>
        <v>2025</v>
      </c>
      <c r="F147" s="11">
        <f t="shared" si="33"/>
        <v>152692.63100000005</v>
      </c>
      <c r="G147">
        <f t="shared" si="34"/>
        <v>2025</v>
      </c>
      <c r="H147" s="11">
        <f t="shared" si="35"/>
        <v>8120.9849999999969</v>
      </c>
      <c r="I147">
        <f t="shared" si="36"/>
        <v>2020</v>
      </c>
      <c r="J147" s="11">
        <f t="shared" si="37"/>
        <v>31747.760000000002</v>
      </c>
      <c r="K147">
        <f t="shared" si="38"/>
        <v>2025</v>
      </c>
      <c r="M147" s="11">
        <f t="shared" si="39"/>
        <v>150332</v>
      </c>
      <c r="N147" s="11">
        <f t="shared" si="41"/>
        <v>2020</v>
      </c>
      <c r="O147" s="11">
        <f t="shared" si="40"/>
        <v>23730.830869999998</v>
      </c>
      <c r="P147" s="11">
        <f t="shared" si="42"/>
        <v>2020</v>
      </c>
      <c r="Q147" s="12"/>
      <c r="R147" s="12"/>
    </row>
    <row r="148" spans="1:18" x14ac:dyDescent="0.35">
      <c r="A148" t="str">
        <f t="shared" si="14"/>
        <v>LAS VARILLAS_7</v>
      </c>
      <c r="B148" t="s">
        <v>3</v>
      </c>
      <c r="C148">
        <v>7</v>
      </c>
      <c r="D148" s="11">
        <f t="shared" si="31"/>
        <v>26927</v>
      </c>
      <c r="E148">
        <f t="shared" si="32"/>
        <v>2021</v>
      </c>
      <c r="F148" s="11">
        <f t="shared" si="33"/>
        <v>170033.72700000004</v>
      </c>
      <c r="G148">
        <f t="shared" si="34"/>
        <v>2025</v>
      </c>
      <c r="H148" s="11">
        <f t="shared" si="35"/>
        <v>13788.989999999998</v>
      </c>
      <c r="I148">
        <f t="shared" si="36"/>
        <v>2021</v>
      </c>
      <c r="J148" s="11">
        <f t="shared" si="37"/>
        <v>37023.910000000003</v>
      </c>
      <c r="K148">
        <f t="shared" si="38"/>
        <v>2025</v>
      </c>
      <c r="M148" s="11">
        <f t="shared" si="39"/>
        <v>169425</v>
      </c>
      <c r="N148" s="11">
        <f t="shared" si="41"/>
        <v>2020</v>
      </c>
      <c r="O148" s="11">
        <f t="shared" si="40"/>
        <v>31953.654999999995</v>
      </c>
      <c r="P148" s="11">
        <f t="shared" si="42"/>
        <v>2021</v>
      </c>
      <c r="Q148" s="12"/>
      <c r="R148" s="12"/>
    </row>
    <row r="149" spans="1:18" x14ac:dyDescent="0.35">
      <c r="A149" t="str">
        <f t="shared" si="14"/>
        <v>LAS VARILLAS_8</v>
      </c>
      <c r="B149" t="s">
        <v>3</v>
      </c>
      <c r="C149">
        <v>8</v>
      </c>
      <c r="D149" s="11">
        <f t="shared" si="31"/>
        <v>31592</v>
      </c>
      <c r="E149">
        <f t="shared" si="32"/>
        <v>2019</v>
      </c>
      <c r="F149" s="11">
        <f t="shared" si="33"/>
        <v>185326.57400000008</v>
      </c>
      <c r="G149">
        <f t="shared" si="34"/>
        <v>2025</v>
      </c>
      <c r="H149" s="11">
        <f t="shared" si="35"/>
        <v>9294.7199999999975</v>
      </c>
      <c r="I149">
        <f t="shared" si="36"/>
        <v>2019</v>
      </c>
      <c r="J149" s="11">
        <f t="shared" si="37"/>
        <v>41498.640000000007</v>
      </c>
      <c r="K149">
        <f t="shared" si="38"/>
        <v>2025</v>
      </c>
      <c r="M149" s="11">
        <f t="shared" si="39"/>
        <v>176660</v>
      </c>
      <c r="N149" s="11">
        <f t="shared" si="41"/>
        <v>2020</v>
      </c>
      <c r="O149" s="11">
        <f t="shared" si="40"/>
        <v>40728.834999999999</v>
      </c>
      <c r="P149" s="11">
        <f t="shared" si="42"/>
        <v>2021</v>
      </c>
      <c r="Q149" s="12"/>
      <c r="R149" s="12"/>
    </row>
    <row r="150" spans="1:18" x14ac:dyDescent="0.35">
      <c r="A150" t="str">
        <f t="shared" si="14"/>
        <v>LAS VARILLAS_9</v>
      </c>
      <c r="B150" t="s">
        <v>3</v>
      </c>
      <c r="C150">
        <v>9</v>
      </c>
      <c r="D150" s="11">
        <f t="shared" si="31"/>
        <v>19450.985999999917</v>
      </c>
      <c r="E150">
        <f t="shared" si="32"/>
        <v>2025</v>
      </c>
      <c r="F150" s="11">
        <f t="shared" si="33"/>
        <v>204777.56</v>
      </c>
      <c r="G150">
        <f t="shared" si="34"/>
        <v>2025</v>
      </c>
      <c r="H150" s="11">
        <f t="shared" si="35"/>
        <v>5924.9099999999962</v>
      </c>
      <c r="I150">
        <f t="shared" si="36"/>
        <v>2021</v>
      </c>
      <c r="J150" s="11">
        <f t="shared" si="37"/>
        <v>46653.744999999995</v>
      </c>
      <c r="K150">
        <f t="shared" si="38"/>
        <v>2021</v>
      </c>
      <c r="M150" s="11">
        <f t="shared" si="39"/>
        <v>185127</v>
      </c>
      <c r="N150" s="11">
        <f t="shared" si="41"/>
        <v>2020</v>
      </c>
      <c r="O150" s="11">
        <f t="shared" si="40"/>
        <v>46653.744999999995</v>
      </c>
      <c r="P150" s="11">
        <f t="shared" si="42"/>
        <v>2021</v>
      </c>
      <c r="Q150" s="12"/>
      <c r="R150" s="12"/>
    </row>
    <row r="151" spans="1:18" x14ac:dyDescent="0.35">
      <c r="A151" t="str">
        <f t="shared" si="14"/>
        <v>LAS VARILLAS_10</v>
      </c>
      <c r="B151" t="s">
        <v>3</v>
      </c>
      <c r="C151">
        <v>10</v>
      </c>
      <c r="D151" s="11">
        <f t="shared" si="31"/>
        <v>18253</v>
      </c>
      <c r="E151">
        <f t="shared" si="32"/>
        <v>2019</v>
      </c>
      <c r="F151" s="11">
        <f t="shared" si="33"/>
        <v>219907.383</v>
      </c>
      <c r="G151">
        <f t="shared" si="34"/>
        <v>2025</v>
      </c>
      <c r="H151" s="11">
        <f t="shared" si="35"/>
        <v>5688.1100000000079</v>
      </c>
      <c r="I151">
        <f t="shared" si="36"/>
        <v>2025</v>
      </c>
      <c r="J151" s="11">
        <f t="shared" si="37"/>
        <v>51271.140000000007</v>
      </c>
      <c r="K151">
        <f t="shared" si="38"/>
        <v>2025</v>
      </c>
      <c r="M151" s="11">
        <f t="shared" si="39"/>
        <v>193936</v>
      </c>
      <c r="N151" s="11">
        <f t="shared" si="41"/>
        <v>2019</v>
      </c>
      <c r="O151" s="11">
        <f t="shared" si="40"/>
        <v>49729.719999999994</v>
      </c>
      <c r="P151" s="11">
        <f t="shared" si="42"/>
        <v>2021</v>
      </c>
      <c r="Q151" s="12"/>
      <c r="R151" s="12"/>
    </row>
    <row r="152" spans="1:18" x14ac:dyDescent="0.35">
      <c r="A152" t="str">
        <f t="shared" si="14"/>
        <v>LAS VARILLAS_11</v>
      </c>
      <c r="B152" t="s">
        <v>3</v>
      </c>
      <c r="C152">
        <v>11</v>
      </c>
      <c r="D152" s="11">
        <f t="shared" si="31"/>
        <v>15874</v>
      </c>
      <c r="E152">
        <f t="shared" si="32"/>
        <v>2017</v>
      </c>
      <c r="F152" s="11">
        <f t="shared" si="33"/>
        <v>209303.99999999997</v>
      </c>
      <c r="G152">
        <f t="shared" si="34"/>
        <v>2019</v>
      </c>
      <c r="H152" s="11">
        <f t="shared" si="35"/>
        <v>5227.3300000000017</v>
      </c>
      <c r="I152">
        <f t="shared" si="36"/>
        <v>2019</v>
      </c>
      <c r="J152" s="11">
        <f t="shared" si="37"/>
        <v>52914.989999999991</v>
      </c>
      <c r="K152">
        <f t="shared" si="38"/>
        <v>2021</v>
      </c>
      <c r="M152" s="11">
        <f t="shared" si="39"/>
        <v>209303.99999999997</v>
      </c>
      <c r="N152" s="11">
        <f t="shared" si="41"/>
        <v>2019</v>
      </c>
      <c r="O152" s="11">
        <f t="shared" si="40"/>
        <v>52914.989999999991</v>
      </c>
      <c r="P152" s="11">
        <f t="shared" si="42"/>
        <v>2021</v>
      </c>
      <c r="Q152" s="12"/>
      <c r="R152" s="12"/>
    </row>
    <row r="153" spans="1:18" x14ac:dyDescent="0.35">
      <c r="A153" t="str">
        <f t="shared" si="14"/>
        <v>LAS VARILLAS_12</v>
      </c>
      <c r="B153" t="s">
        <v>3</v>
      </c>
      <c r="C153">
        <v>12</v>
      </c>
      <c r="D153" s="11">
        <f t="shared" si="31"/>
        <v>9191.0000000000291</v>
      </c>
      <c r="E153">
        <f t="shared" si="32"/>
        <v>2019</v>
      </c>
      <c r="F153" s="11">
        <f t="shared" si="33"/>
        <v>218495</v>
      </c>
      <c r="G153">
        <f t="shared" si="34"/>
        <v>2019</v>
      </c>
      <c r="H153" s="11">
        <f t="shared" si="35"/>
        <v>6112.98</v>
      </c>
      <c r="I153">
        <f t="shared" si="36"/>
        <v>2024</v>
      </c>
      <c r="J153" s="11">
        <f t="shared" si="37"/>
        <v>55215.179999999993</v>
      </c>
      <c r="K153">
        <f t="shared" si="38"/>
        <v>2021</v>
      </c>
      <c r="M153" s="11">
        <f t="shared" si="39"/>
        <v>218495</v>
      </c>
      <c r="N153" s="11">
        <f t="shared" si="41"/>
        <v>2019</v>
      </c>
      <c r="O153" s="11">
        <f t="shared" si="40"/>
        <v>55215.179999999993</v>
      </c>
      <c r="P153" s="11">
        <f t="shared" si="42"/>
        <v>2021</v>
      </c>
      <c r="Q153" s="12"/>
      <c r="R153" s="12"/>
    </row>
    <row r="154" spans="1:18" x14ac:dyDescent="0.35">
      <c r="A154" t="str">
        <f t="shared" si="14"/>
        <v>PIQUETE CABADO_1</v>
      </c>
      <c r="B154" t="s">
        <v>4</v>
      </c>
      <c r="C154">
        <v>1</v>
      </c>
      <c r="D154" s="11">
        <f t="shared" ref="D154:D165" si="43">+_xlfn.MAXIFS($W$6:$W$113,$V$6:$V$113,$C154)</f>
        <v>85534</v>
      </c>
      <c r="E154">
        <f t="shared" ref="E154:E165" si="44">+VLOOKUP(D154,$W$6:$AA$113,5,FALSE)</f>
        <v>2020</v>
      </c>
      <c r="F154" s="11">
        <f t="shared" ref="F154:F165" si="45">+_xlfn.MAXIFS($X$6:$X$113,$V$6:$V$113,$C154)</f>
        <v>85534</v>
      </c>
      <c r="G154">
        <f t="shared" ref="G154:G165" si="46">+VLOOKUP(F154,$X$6:$AA$113,4,FALSE)</f>
        <v>2020</v>
      </c>
      <c r="H154" s="11">
        <f t="shared" ref="H154:H165" si="47">+_xlfn.MAXIFS($Y$6:$Y$113,$V$6:$V$113,$C154)</f>
        <v>4937.24</v>
      </c>
      <c r="I154">
        <f t="shared" ref="I154:I165" si="48">+VLOOKUP(H154,$Y$6:$AA$113,3,FALSE)</f>
        <v>2025</v>
      </c>
      <c r="J154" s="11">
        <f t="shared" ref="J154:J165" si="49">+_xlfn.MAXIFS($Z$6:$Z$113,$V$6:$V$113,$C154)</f>
        <v>4937.24</v>
      </c>
      <c r="K154">
        <f t="shared" ref="K154:K165" si="50">+VLOOKUP(J154,$Z$6:$AA$113,2,FALSE)</f>
        <v>2025</v>
      </c>
      <c r="M154" s="11">
        <f t="shared" ref="M154:M165" si="51">+_xlfn.MAXIFS($X$6:$X$113,$D$6:$D$113,$C154,$BK$6:$BK$113,"&lt;2025")</f>
        <v>85534</v>
      </c>
      <c r="N154" s="11">
        <f>+VLOOKUP(M154,$X$6:$AA$113,4,FALSE)</f>
        <v>2020</v>
      </c>
      <c r="O154" s="11">
        <f t="shared" ref="O154:O165" si="52">+_xlfn.MAXIFS($Z$6:$Z$113,$V$6:$V$113,$C154,$BK$6:$BK$113,"&lt;2025")</f>
        <v>3936.12</v>
      </c>
      <c r="P154" s="11">
        <f>+VLOOKUP(O154,$Z$6:$AA$113,2,FALSE)</f>
        <v>2023</v>
      </c>
      <c r="Q154" s="12"/>
      <c r="R154" s="12"/>
    </row>
    <row r="155" spans="1:18" x14ac:dyDescent="0.35">
      <c r="A155" t="str">
        <f t="shared" si="14"/>
        <v>PIQUETE CABADO_2</v>
      </c>
      <c r="B155" t="s">
        <v>4</v>
      </c>
      <c r="C155">
        <v>2</v>
      </c>
      <c r="D155" s="11">
        <f t="shared" si="43"/>
        <v>13625</v>
      </c>
      <c r="E155">
        <f t="shared" si="44"/>
        <v>2019</v>
      </c>
      <c r="F155" s="11">
        <f t="shared" si="45"/>
        <v>86650</v>
      </c>
      <c r="G155">
        <f t="shared" si="46"/>
        <v>2020</v>
      </c>
      <c r="H155" s="11">
        <f t="shared" si="47"/>
        <v>3833.3594999999996</v>
      </c>
      <c r="I155">
        <f t="shared" si="48"/>
        <v>2022</v>
      </c>
      <c r="J155" s="11">
        <f t="shared" si="49"/>
        <v>8165.98</v>
      </c>
      <c r="K155">
        <f t="shared" si="50"/>
        <v>2025</v>
      </c>
      <c r="M155" s="11">
        <f t="shared" si="51"/>
        <v>86650</v>
      </c>
      <c r="N155" s="11">
        <f t="shared" ref="N155:N165" si="53">+VLOOKUP(M155,$X$6:$AA$113,4,FALSE)</f>
        <v>2020</v>
      </c>
      <c r="O155" s="11">
        <f t="shared" si="52"/>
        <v>7299.0859999999993</v>
      </c>
      <c r="P155" s="11">
        <f t="shared" ref="P155:P165" si="54">+VLOOKUP(O155,$Z$6:$AA$113,2,FALSE)</f>
        <v>2022</v>
      </c>
      <c r="Q155" s="12"/>
      <c r="R155" s="12"/>
    </row>
    <row r="156" spans="1:18" x14ac:dyDescent="0.35">
      <c r="A156" t="str">
        <f t="shared" si="14"/>
        <v>PIQUETE CABADO_3</v>
      </c>
      <c r="B156" t="s">
        <v>4</v>
      </c>
      <c r="C156">
        <v>3</v>
      </c>
      <c r="D156" s="11">
        <f t="shared" si="43"/>
        <v>26878</v>
      </c>
      <c r="E156">
        <f t="shared" si="44"/>
        <v>2022</v>
      </c>
      <c r="F156" s="11">
        <f t="shared" si="45"/>
        <v>96568</v>
      </c>
      <c r="G156">
        <f t="shared" si="46"/>
        <v>2021</v>
      </c>
      <c r="H156" s="11">
        <f t="shared" si="47"/>
        <v>2590.17</v>
      </c>
      <c r="I156">
        <f t="shared" si="48"/>
        <v>2025</v>
      </c>
      <c r="J156" s="11">
        <f t="shared" si="49"/>
        <v>10756.15</v>
      </c>
      <c r="K156">
        <f t="shared" si="50"/>
        <v>2025</v>
      </c>
      <c r="M156" s="11">
        <f t="shared" si="51"/>
        <v>96568</v>
      </c>
      <c r="N156" s="11">
        <f t="shared" si="53"/>
        <v>2021</v>
      </c>
      <c r="O156" s="11">
        <f t="shared" si="52"/>
        <v>7857.9159999999993</v>
      </c>
      <c r="P156" s="11">
        <f t="shared" si="54"/>
        <v>2022</v>
      </c>
      <c r="Q156" s="12"/>
      <c r="R156" s="12"/>
    </row>
    <row r="157" spans="1:18" x14ac:dyDescent="0.35">
      <c r="A157" t="str">
        <f t="shared" si="14"/>
        <v>PIQUETE CABADO_4</v>
      </c>
      <c r="B157" t="s">
        <v>4</v>
      </c>
      <c r="C157">
        <v>4</v>
      </c>
      <c r="D157" s="11">
        <f t="shared" si="43"/>
        <v>30464.732</v>
      </c>
      <c r="E157">
        <f t="shared" si="44"/>
        <v>2025</v>
      </c>
      <c r="F157" s="11">
        <f t="shared" si="45"/>
        <v>121581</v>
      </c>
      <c r="G157">
        <f t="shared" si="46"/>
        <v>2021</v>
      </c>
      <c r="H157" s="11">
        <f t="shared" si="47"/>
        <v>7190</v>
      </c>
      <c r="I157">
        <f t="shared" si="48"/>
        <v>2019</v>
      </c>
      <c r="J157" s="11">
        <f t="shared" si="49"/>
        <v>15397.07</v>
      </c>
      <c r="K157">
        <f t="shared" si="50"/>
        <v>2025</v>
      </c>
      <c r="M157" s="11">
        <f t="shared" si="51"/>
        <v>121581</v>
      </c>
      <c r="N157" s="11">
        <f t="shared" si="53"/>
        <v>2021</v>
      </c>
      <c r="O157" s="11">
        <f t="shared" si="52"/>
        <v>14680.5</v>
      </c>
      <c r="P157" s="11">
        <f t="shared" si="54"/>
        <v>2019</v>
      </c>
      <c r="Q157" s="12"/>
      <c r="R157" s="12"/>
    </row>
    <row r="158" spans="1:18" x14ac:dyDescent="0.35">
      <c r="A158" t="str">
        <f t="shared" si="14"/>
        <v>PIQUETE CABADO_5</v>
      </c>
      <c r="B158" t="s">
        <v>4</v>
      </c>
      <c r="C158">
        <v>5</v>
      </c>
      <c r="D158" s="11">
        <f t="shared" si="43"/>
        <v>40862</v>
      </c>
      <c r="E158">
        <f t="shared" si="44"/>
        <v>2019</v>
      </c>
      <c r="F158" s="11">
        <f t="shared" si="45"/>
        <v>137153</v>
      </c>
      <c r="G158">
        <f t="shared" si="46"/>
        <v>2021</v>
      </c>
      <c r="H158" s="11">
        <f t="shared" si="47"/>
        <v>28016.270000000004</v>
      </c>
      <c r="I158">
        <f t="shared" si="48"/>
        <v>2017</v>
      </c>
      <c r="J158" s="11">
        <f t="shared" si="49"/>
        <v>33465.730000000003</v>
      </c>
      <c r="K158">
        <f t="shared" si="50"/>
        <v>2017</v>
      </c>
      <c r="M158" s="11">
        <f t="shared" si="51"/>
        <v>137153</v>
      </c>
      <c r="N158" s="11">
        <f t="shared" si="53"/>
        <v>2021</v>
      </c>
      <c r="O158" s="11">
        <f t="shared" si="52"/>
        <v>33465.730000000003</v>
      </c>
      <c r="P158" s="11">
        <f t="shared" si="54"/>
        <v>2017</v>
      </c>
      <c r="Q158" s="12"/>
      <c r="R158" s="12"/>
    </row>
    <row r="159" spans="1:18" x14ac:dyDescent="0.35">
      <c r="A159" t="str">
        <f t="shared" si="14"/>
        <v>PIQUETE CABADO_6</v>
      </c>
      <c r="B159" t="s">
        <v>4</v>
      </c>
      <c r="C159">
        <v>6</v>
      </c>
      <c r="D159" s="11">
        <f t="shared" si="43"/>
        <v>38702.771999999983</v>
      </c>
      <c r="E159">
        <f t="shared" si="44"/>
        <v>2025</v>
      </c>
      <c r="F159" s="11">
        <f t="shared" si="45"/>
        <v>150070</v>
      </c>
      <c r="G159">
        <f t="shared" si="46"/>
        <v>2021</v>
      </c>
      <c r="H159" s="11">
        <f t="shared" si="47"/>
        <v>26050.18</v>
      </c>
      <c r="I159">
        <f t="shared" si="48"/>
        <v>2017</v>
      </c>
      <c r="J159" s="11">
        <f t="shared" si="49"/>
        <v>59515.91</v>
      </c>
      <c r="K159">
        <f t="shared" si="50"/>
        <v>2017</v>
      </c>
      <c r="M159" s="11">
        <f t="shared" si="51"/>
        <v>150070</v>
      </c>
      <c r="N159" s="11">
        <f t="shared" si="53"/>
        <v>2021</v>
      </c>
      <c r="O159" s="11">
        <f t="shared" si="52"/>
        <v>59515.91</v>
      </c>
      <c r="P159" s="11">
        <f t="shared" si="54"/>
        <v>2017</v>
      </c>
      <c r="Q159" s="12"/>
      <c r="R159" s="12"/>
    </row>
    <row r="160" spans="1:18" x14ac:dyDescent="0.35">
      <c r="A160" t="str">
        <f t="shared" si="14"/>
        <v>PIQUETE CABADO_7</v>
      </c>
      <c r="B160" t="s">
        <v>4</v>
      </c>
      <c r="C160">
        <v>7</v>
      </c>
      <c r="D160" s="11">
        <f t="shared" si="43"/>
        <v>24726</v>
      </c>
      <c r="E160">
        <f t="shared" si="44"/>
        <v>2020</v>
      </c>
      <c r="F160" s="11">
        <f t="shared" si="45"/>
        <v>165793</v>
      </c>
      <c r="G160">
        <f t="shared" si="46"/>
        <v>2020</v>
      </c>
      <c r="H160" s="11">
        <f t="shared" si="47"/>
        <v>13639.02</v>
      </c>
      <c r="I160">
        <f t="shared" si="48"/>
        <v>2023</v>
      </c>
      <c r="J160" s="11">
        <f t="shared" si="49"/>
        <v>62755.770000000004</v>
      </c>
      <c r="K160">
        <f t="shared" si="50"/>
        <v>2017</v>
      </c>
      <c r="M160" s="11">
        <f t="shared" si="51"/>
        <v>165793</v>
      </c>
      <c r="N160" s="11">
        <f t="shared" si="53"/>
        <v>2020</v>
      </c>
      <c r="O160" s="11">
        <f t="shared" si="52"/>
        <v>62755.770000000004</v>
      </c>
      <c r="P160" s="11">
        <f t="shared" si="54"/>
        <v>2017</v>
      </c>
      <c r="Q160" s="12"/>
      <c r="R160" s="12"/>
    </row>
    <row r="161" spans="1:18" x14ac:dyDescent="0.35">
      <c r="A161" t="str">
        <f t="shared" si="14"/>
        <v>PIQUETE CABADO_8</v>
      </c>
      <c r="B161" t="s">
        <v>4</v>
      </c>
      <c r="C161">
        <v>8</v>
      </c>
      <c r="D161" s="11">
        <f t="shared" si="43"/>
        <v>34365</v>
      </c>
      <c r="E161">
        <f t="shared" si="44"/>
        <v>2023</v>
      </c>
      <c r="F161" s="11">
        <f t="shared" si="45"/>
        <v>175390</v>
      </c>
      <c r="G161">
        <f t="shared" si="46"/>
        <v>2020</v>
      </c>
      <c r="H161" s="11">
        <f t="shared" si="47"/>
        <v>13419.36</v>
      </c>
      <c r="I161">
        <f t="shared" si="48"/>
        <v>2023</v>
      </c>
      <c r="J161" s="11">
        <f t="shared" si="49"/>
        <v>65141.83</v>
      </c>
      <c r="K161">
        <f t="shared" si="50"/>
        <v>2017</v>
      </c>
      <c r="M161" s="11">
        <f t="shared" si="51"/>
        <v>175390</v>
      </c>
      <c r="N161" s="11">
        <f t="shared" si="53"/>
        <v>2020</v>
      </c>
      <c r="O161" s="11">
        <f t="shared" si="52"/>
        <v>65141.83</v>
      </c>
      <c r="P161" s="11">
        <f t="shared" si="54"/>
        <v>2017</v>
      </c>
      <c r="Q161" s="12"/>
      <c r="R161" s="12"/>
    </row>
    <row r="162" spans="1:18" x14ac:dyDescent="0.35">
      <c r="A162" t="str">
        <f t="shared" si="14"/>
        <v>PIQUETE CABADO_9</v>
      </c>
      <c r="B162" t="s">
        <v>4</v>
      </c>
      <c r="C162">
        <v>9</v>
      </c>
      <c r="D162" s="11">
        <f t="shared" si="43"/>
        <v>18095.714000000007</v>
      </c>
      <c r="E162">
        <f t="shared" si="44"/>
        <v>2025</v>
      </c>
      <c r="F162" s="11">
        <f t="shared" si="45"/>
        <v>187033</v>
      </c>
      <c r="G162">
        <f t="shared" si="46"/>
        <v>2020</v>
      </c>
      <c r="H162" s="11">
        <f t="shared" si="47"/>
        <v>10322.82</v>
      </c>
      <c r="I162">
        <f t="shared" si="48"/>
        <v>2023</v>
      </c>
      <c r="J162" s="11">
        <f t="shared" si="49"/>
        <v>67555.819999999992</v>
      </c>
      <c r="K162">
        <f t="shared" si="50"/>
        <v>2024</v>
      </c>
      <c r="M162" s="11">
        <f t="shared" si="51"/>
        <v>187033</v>
      </c>
      <c r="N162" s="11">
        <f t="shared" si="53"/>
        <v>2020</v>
      </c>
      <c r="O162" s="11">
        <f t="shared" si="52"/>
        <v>67555.819999999992</v>
      </c>
      <c r="P162" s="11">
        <f t="shared" si="54"/>
        <v>2024</v>
      </c>
      <c r="Q162" s="12"/>
      <c r="R162" s="12"/>
    </row>
    <row r="163" spans="1:18" x14ac:dyDescent="0.35">
      <c r="A163" t="str">
        <f t="shared" si="14"/>
        <v>PIQUETE CABADO_10</v>
      </c>
      <c r="B163" t="s">
        <v>4</v>
      </c>
      <c r="C163">
        <v>10</v>
      </c>
      <c r="D163" s="11">
        <f t="shared" si="43"/>
        <v>22266.858000000007</v>
      </c>
      <c r="E163">
        <f t="shared" si="44"/>
        <v>2025</v>
      </c>
      <c r="F163" s="11">
        <f t="shared" si="45"/>
        <v>189693</v>
      </c>
      <c r="G163">
        <f t="shared" si="46"/>
        <v>2020</v>
      </c>
      <c r="H163" s="11">
        <f t="shared" si="47"/>
        <v>9476.6215000000029</v>
      </c>
      <c r="I163">
        <f t="shared" si="48"/>
        <v>2022</v>
      </c>
      <c r="J163" s="11">
        <f t="shared" si="49"/>
        <v>76615.97</v>
      </c>
      <c r="K163">
        <f t="shared" si="50"/>
        <v>2025</v>
      </c>
      <c r="M163" s="11">
        <f t="shared" si="51"/>
        <v>189693</v>
      </c>
      <c r="N163" s="11">
        <f t="shared" si="53"/>
        <v>2020</v>
      </c>
      <c r="O163" s="11">
        <f t="shared" si="52"/>
        <v>73662.87999999999</v>
      </c>
      <c r="P163" s="11">
        <f t="shared" si="54"/>
        <v>2024</v>
      </c>
      <c r="Q163" s="12"/>
      <c r="R163" s="12"/>
    </row>
    <row r="164" spans="1:18" x14ac:dyDescent="0.35">
      <c r="A164" t="str">
        <f t="shared" si="14"/>
        <v>PIQUETE CABADO_11</v>
      </c>
      <c r="B164" t="s">
        <v>4</v>
      </c>
      <c r="C164">
        <v>11</v>
      </c>
      <c r="D164" s="11">
        <f t="shared" si="43"/>
        <v>9921.9899999999907</v>
      </c>
      <c r="E164">
        <f t="shared" si="44"/>
        <v>2019</v>
      </c>
      <c r="F164" s="11">
        <f t="shared" si="45"/>
        <v>192602</v>
      </c>
      <c r="G164">
        <f t="shared" si="46"/>
        <v>2020</v>
      </c>
      <c r="H164" s="11">
        <f t="shared" si="47"/>
        <v>7394.3300000000017</v>
      </c>
      <c r="I164">
        <f t="shared" si="48"/>
        <v>2021</v>
      </c>
      <c r="J164" s="11">
        <f t="shared" si="49"/>
        <v>79666.34</v>
      </c>
      <c r="K164">
        <f t="shared" si="50"/>
        <v>2024</v>
      </c>
      <c r="M164" s="11">
        <f t="shared" si="51"/>
        <v>192602</v>
      </c>
      <c r="N164" s="11">
        <f t="shared" si="53"/>
        <v>2020</v>
      </c>
      <c r="O164" s="11">
        <f t="shared" si="52"/>
        <v>79666.34</v>
      </c>
      <c r="P164" s="11">
        <f t="shared" si="54"/>
        <v>2024</v>
      </c>
      <c r="Q164" s="12"/>
      <c r="R164" s="12"/>
    </row>
    <row r="165" spans="1:18" x14ac:dyDescent="0.35">
      <c r="A165" t="str">
        <f t="shared" si="14"/>
        <v>PIQUETE CABADO_12</v>
      </c>
      <c r="B165" t="s">
        <v>4</v>
      </c>
      <c r="C165">
        <v>12</v>
      </c>
      <c r="D165" s="11">
        <f t="shared" si="43"/>
        <v>8318.0100000000093</v>
      </c>
      <c r="E165">
        <f t="shared" si="44"/>
        <v>2019</v>
      </c>
      <c r="F165" s="11">
        <f t="shared" si="45"/>
        <v>199588</v>
      </c>
      <c r="G165">
        <f t="shared" si="46"/>
        <v>2019</v>
      </c>
      <c r="H165" s="11">
        <f t="shared" si="47"/>
        <v>6608.7700000000041</v>
      </c>
      <c r="I165">
        <f t="shared" si="48"/>
        <v>2019</v>
      </c>
      <c r="J165" s="11">
        <f t="shared" si="49"/>
        <v>84319.86</v>
      </c>
      <c r="K165">
        <f t="shared" si="50"/>
        <v>2024</v>
      </c>
      <c r="M165" s="11">
        <f t="shared" si="51"/>
        <v>199588</v>
      </c>
      <c r="N165" s="11">
        <f t="shared" si="53"/>
        <v>2019</v>
      </c>
      <c r="O165" s="11">
        <f t="shared" si="52"/>
        <v>84319.86</v>
      </c>
      <c r="P165" s="11">
        <f t="shared" si="54"/>
        <v>2024</v>
      </c>
      <c r="Q165" s="12"/>
      <c r="R165" s="12"/>
    </row>
    <row r="166" spans="1:18" x14ac:dyDescent="0.35">
      <c r="A166" t="str">
        <f t="shared" si="14"/>
        <v>ALVEAR_1</v>
      </c>
      <c r="B166" t="s">
        <v>5</v>
      </c>
      <c r="C166">
        <v>1</v>
      </c>
      <c r="D166" s="11">
        <f t="shared" ref="D166:D177" si="55">+_xlfn.MAXIFS($AC$6:$AC$113,$AB$6:$AB$113,$C166)</f>
        <v>22144</v>
      </c>
      <c r="E166">
        <f t="shared" ref="E166:E177" si="56">+VLOOKUP(D166,$AC$6:$AG$113,5,FALSE)</f>
        <v>2020</v>
      </c>
      <c r="F166" s="11">
        <f t="shared" ref="F166:F177" si="57">+_xlfn.MAXIFS($AD$6:$AD$113,$AB$6:$AB$113,$C166)</f>
        <v>22144</v>
      </c>
      <c r="G166">
        <f t="shared" ref="G166:G177" si="58">+VLOOKUP(F166,$AD$6:$AG$113,4,FALSE)</f>
        <v>2020</v>
      </c>
      <c r="H166" s="11">
        <f t="shared" ref="H166:H177" si="59">+_xlfn.MAXIFS($AE$6:$AE$113,$AB$6:$AB$113,$C166)</f>
        <v>3693.2</v>
      </c>
      <c r="I166">
        <f t="shared" ref="I166:I177" si="60">+VLOOKUP(H166,$AE$6:$AG$113,3,FALSE)</f>
        <v>2018</v>
      </c>
      <c r="J166" s="11">
        <f t="shared" ref="J166:J177" si="61">+_xlfn.MAXIFS($AF$6:$AF$113,$AB$6:$AB$113,$C166)</f>
        <v>3693.2</v>
      </c>
      <c r="K166">
        <f t="shared" ref="K166:K177" si="62">+VLOOKUP(J166,$AF$6:$AG$113,2,FALSE)</f>
        <v>2018</v>
      </c>
      <c r="M166" s="11">
        <f t="shared" ref="M166:M177" si="63">+_xlfn.MAXIFS($AD$6:$AD$113,$D$6:$D$113,$C166,$BK$6:$BK$113,"&lt;2025")</f>
        <v>22144</v>
      </c>
      <c r="N166" s="11">
        <f>+VLOOKUP(M166,$AD$6:$AG$113,4,FALSE)</f>
        <v>2020</v>
      </c>
      <c r="O166" s="11">
        <f t="shared" ref="O166:O177" si="64">+_xlfn.MAXIFS($AF$6:$AF$113,$AB$6:$AB$113,$C166,$BK$6:$BK$113,"&lt;2025")</f>
        <v>3693.2</v>
      </c>
      <c r="P166" s="11">
        <f>+VLOOKUP(O166,$AF$6:$AG$113,2,FALSE)</f>
        <v>2018</v>
      </c>
      <c r="Q166" s="12"/>
      <c r="R166" s="12"/>
    </row>
    <row r="167" spans="1:18" x14ac:dyDescent="0.35">
      <c r="A167" t="str">
        <f t="shared" si="14"/>
        <v>ALVEAR_2</v>
      </c>
      <c r="B167" t="s">
        <v>5</v>
      </c>
      <c r="C167">
        <v>2</v>
      </c>
      <c r="D167" s="11">
        <f t="shared" si="55"/>
        <v>7301.3570000000036</v>
      </c>
      <c r="E167">
        <f t="shared" si="56"/>
        <v>2025</v>
      </c>
      <c r="F167" s="11">
        <f t="shared" si="57"/>
        <v>25565</v>
      </c>
      <c r="G167">
        <f t="shared" si="58"/>
        <v>2020</v>
      </c>
      <c r="H167" s="11">
        <f t="shared" si="59"/>
        <v>3693.2</v>
      </c>
      <c r="I167">
        <f t="shared" si="60"/>
        <v>2018</v>
      </c>
      <c r="J167" s="11">
        <f t="shared" si="61"/>
        <v>7386.4</v>
      </c>
      <c r="K167">
        <f t="shared" si="62"/>
        <v>2018</v>
      </c>
      <c r="M167" s="11">
        <f t="shared" si="63"/>
        <v>25565</v>
      </c>
      <c r="N167" s="11">
        <f t="shared" ref="N167:N177" si="65">+VLOOKUP(M167,$AD$6:$AG$113,4,FALSE)</f>
        <v>2020</v>
      </c>
      <c r="O167" s="11">
        <f t="shared" si="64"/>
        <v>7386.4</v>
      </c>
      <c r="P167" s="11">
        <f t="shared" ref="P167:P177" si="66">+VLOOKUP(O167,$AF$6:$AG$113,2,FALSE)</f>
        <v>2018</v>
      </c>
      <c r="Q167" s="12"/>
      <c r="R167" s="12"/>
    </row>
    <row r="168" spans="1:18" x14ac:dyDescent="0.35">
      <c r="A168" t="str">
        <f t="shared" si="14"/>
        <v>ALVEAR_3</v>
      </c>
      <c r="B168" t="s">
        <v>5</v>
      </c>
      <c r="C168">
        <v>3</v>
      </c>
      <c r="D168" s="11">
        <f t="shared" si="55"/>
        <v>9495.518</v>
      </c>
      <c r="E168">
        <f t="shared" si="56"/>
        <v>2025</v>
      </c>
      <c r="F168" s="11">
        <f t="shared" si="57"/>
        <v>28850.486000000004</v>
      </c>
      <c r="G168">
        <f t="shared" si="58"/>
        <v>2025</v>
      </c>
      <c r="H168" s="11">
        <f t="shared" si="59"/>
        <v>6473.3099999999995</v>
      </c>
      <c r="I168">
        <f t="shared" si="60"/>
        <v>2025</v>
      </c>
      <c r="J168" s="11">
        <f t="shared" si="61"/>
        <v>11079.599999999999</v>
      </c>
      <c r="K168">
        <f t="shared" si="62"/>
        <v>2018</v>
      </c>
      <c r="M168" s="11">
        <f t="shared" si="63"/>
        <v>28543</v>
      </c>
      <c r="N168" s="11">
        <f t="shared" si="65"/>
        <v>2020</v>
      </c>
      <c r="O168" s="11">
        <f t="shared" si="64"/>
        <v>11079.599999999999</v>
      </c>
      <c r="P168" s="11">
        <f t="shared" si="66"/>
        <v>2018</v>
      </c>
      <c r="Q168" s="12"/>
      <c r="R168" s="12"/>
    </row>
    <row r="169" spans="1:18" x14ac:dyDescent="0.35">
      <c r="A169" t="str">
        <f t="shared" si="14"/>
        <v>ALVEAR_4</v>
      </c>
      <c r="B169" t="s">
        <v>5</v>
      </c>
      <c r="C169">
        <v>4</v>
      </c>
      <c r="D169" s="11">
        <f t="shared" si="55"/>
        <v>19532</v>
      </c>
      <c r="E169">
        <f t="shared" si="56"/>
        <v>2019</v>
      </c>
      <c r="F169" s="11">
        <f t="shared" si="57"/>
        <v>46926</v>
      </c>
      <c r="G169">
        <f t="shared" si="58"/>
        <v>2020</v>
      </c>
      <c r="H169" s="11">
        <f t="shared" si="59"/>
        <v>15333.50499999999</v>
      </c>
      <c r="I169">
        <f t="shared" si="60"/>
        <v>2019</v>
      </c>
      <c r="J169" s="11">
        <f t="shared" si="61"/>
        <v>20935.924999999999</v>
      </c>
      <c r="K169">
        <f t="shared" si="62"/>
        <v>2020</v>
      </c>
      <c r="M169" s="11">
        <f t="shared" si="63"/>
        <v>46926</v>
      </c>
      <c r="N169" s="11">
        <f t="shared" si="65"/>
        <v>2020</v>
      </c>
      <c r="O169" s="11">
        <f t="shared" si="64"/>
        <v>20935.924999999999</v>
      </c>
      <c r="P169" s="11">
        <f t="shared" si="66"/>
        <v>2020</v>
      </c>
      <c r="Q169" s="12"/>
      <c r="R169" s="12"/>
    </row>
    <row r="170" spans="1:18" x14ac:dyDescent="0.35">
      <c r="A170" t="str">
        <f t="shared" si="14"/>
        <v>ALVEAR_5</v>
      </c>
      <c r="B170" t="s">
        <v>5</v>
      </c>
      <c r="C170">
        <v>5</v>
      </c>
      <c r="D170" s="11">
        <f t="shared" si="55"/>
        <v>17248</v>
      </c>
      <c r="E170">
        <f t="shared" si="56"/>
        <v>2019</v>
      </c>
      <c r="F170" s="11">
        <f t="shared" si="57"/>
        <v>55281</v>
      </c>
      <c r="G170">
        <f t="shared" si="58"/>
        <v>2020</v>
      </c>
      <c r="H170" s="11">
        <f t="shared" si="59"/>
        <v>10499.289999999994</v>
      </c>
      <c r="I170">
        <f t="shared" si="60"/>
        <v>2019</v>
      </c>
      <c r="J170" s="11">
        <f t="shared" si="61"/>
        <v>30526.249999999985</v>
      </c>
      <c r="K170">
        <f t="shared" si="62"/>
        <v>2019</v>
      </c>
      <c r="M170" s="11">
        <f t="shared" si="63"/>
        <v>55281</v>
      </c>
      <c r="N170" s="11">
        <f t="shared" si="65"/>
        <v>2020</v>
      </c>
      <c r="O170" s="11">
        <f t="shared" si="64"/>
        <v>30526.249999999985</v>
      </c>
      <c r="P170" s="11">
        <f t="shared" si="66"/>
        <v>2019</v>
      </c>
      <c r="Q170" s="12"/>
      <c r="R170" s="12"/>
    </row>
    <row r="171" spans="1:18" x14ac:dyDescent="0.35">
      <c r="A171" t="str">
        <f t="shared" si="14"/>
        <v>ALVEAR_6</v>
      </c>
      <c r="B171" t="s">
        <v>5</v>
      </c>
      <c r="C171">
        <v>6</v>
      </c>
      <c r="D171" s="11">
        <f t="shared" si="55"/>
        <v>8972.7350000000006</v>
      </c>
      <c r="E171">
        <f t="shared" si="56"/>
        <v>2025</v>
      </c>
      <c r="F171" s="11">
        <f t="shared" si="57"/>
        <v>60388</v>
      </c>
      <c r="G171">
        <f t="shared" si="58"/>
        <v>2019</v>
      </c>
      <c r="H171" s="11">
        <f t="shared" si="59"/>
        <v>7627.3949999999968</v>
      </c>
      <c r="I171">
        <f t="shared" si="60"/>
        <v>2020</v>
      </c>
      <c r="J171" s="11">
        <f t="shared" si="61"/>
        <v>34343.469939999995</v>
      </c>
      <c r="K171">
        <f t="shared" si="62"/>
        <v>2020</v>
      </c>
      <c r="M171" s="11">
        <f t="shared" si="63"/>
        <v>60388</v>
      </c>
      <c r="N171" s="11">
        <f t="shared" si="65"/>
        <v>2019</v>
      </c>
      <c r="O171" s="11">
        <f t="shared" si="64"/>
        <v>34343.469939999995</v>
      </c>
      <c r="P171" s="11">
        <f t="shared" si="66"/>
        <v>2020</v>
      </c>
      <c r="Q171" s="12"/>
      <c r="R171" s="12"/>
    </row>
    <row r="172" spans="1:18" x14ac:dyDescent="0.35">
      <c r="A172" t="str">
        <f t="shared" si="14"/>
        <v>ALVEAR_7</v>
      </c>
      <c r="B172" t="s">
        <v>5</v>
      </c>
      <c r="C172">
        <v>7</v>
      </c>
      <c r="D172" s="11">
        <f t="shared" si="55"/>
        <v>9885</v>
      </c>
      <c r="E172">
        <f t="shared" si="56"/>
        <v>2019</v>
      </c>
      <c r="F172" s="11">
        <f t="shared" si="57"/>
        <v>70273</v>
      </c>
      <c r="G172">
        <f t="shared" si="58"/>
        <v>2019</v>
      </c>
      <c r="H172" s="11">
        <f t="shared" si="59"/>
        <v>9891.3700000000026</v>
      </c>
      <c r="I172">
        <f t="shared" si="60"/>
        <v>2019</v>
      </c>
      <c r="J172" s="11">
        <f t="shared" si="61"/>
        <v>44002.749999999985</v>
      </c>
      <c r="K172">
        <f t="shared" si="62"/>
        <v>2019</v>
      </c>
      <c r="M172" s="11">
        <f t="shared" si="63"/>
        <v>70273</v>
      </c>
      <c r="N172" s="11">
        <f t="shared" si="65"/>
        <v>2019</v>
      </c>
      <c r="O172" s="11">
        <f t="shared" si="64"/>
        <v>44002.749999999985</v>
      </c>
      <c r="P172" s="11">
        <f t="shared" si="66"/>
        <v>2019</v>
      </c>
      <c r="Q172" s="12"/>
      <c r="R172" s="12"/>
    </row>
    <row r="173" spans="1:18" x14ac:dyDescent="0.35">
      <c r="A173" t="str">
        <f t="shared" si="14"/>
        <v>ALVEAR_8</v>
      </c>
      <c r="B173" t="s">
        <v>5</v>
      </c>
      <c r="C173">
        <v>8</v>
      </c>
      <c r="D173" s="11">
        <f t="shared" si="55"/>
        <v>12291.181000000011</v>
      </c>
      <c r="E173">
        <f t="shared" si="56"/>
        <v>2025</v>
      </c>
      <c r="F173" s="11">
        <f t="shared" si="57"/>
        <v>78838.113000000012</v>
      </c>
      <c r="G173">
        <f t="shared" si="58"/>
        <v>2025</v>
      </c>
      <c r="H173" s="11">
        <f t="shared" si="59"/>
        <v>10101.599999999999</v>
      </c>
      <c r="I173">
        <f t="shared" si="60"/>
        <v>2020</v>
      </c>
      <c r="J173" s="11">
        <f t="shared" si="61"/>
        <v>52910.339939999998</v>
      </c>
      <c r="K173">
        <f t="shared" si="62"/>
        <v>2020</v>
      </c>
      <c r="M173" s="11">
        <f t="shared" si="63"/>
        <v>77511</v>
      </c>
      <c r="N173" s="11">
        <f t="shared" si="65"/>
        <v>2019</v>
      </c>
      <c r="O173" s="11">
        <f t="shared" si="64"/>
        <v>52910.339939999998</v>
      </c>
      <c r="P173" s="11">
        <f t="shared" si="66"/>
        <v>2020</v>
      </c>
      <c r="Q173" s="12"/>
      <c r="R173" s="12"/>
    </row>
    <row r="174" spans="1:18" x14ac:dyDescent="0.35">
      <c r="A174" t="str">
        <f t="shared" si="14"/>
        <v>ALVEAR_9</v>
      </c>
      <c r="B174" t="s">
        <v>5</v>
      </c>
      <c r="C174">
        <v>9</v>
      </c>
      <c r="D174" s="11">
        <f t="shared" si="55"/>
        <v>6168</v>
      </c>
      <c r="E174">
        <f t="shared" si="56"/>
        <v>2022</v>
      </c>
      <c r="F174" s="11">
        <f t="shared" si="57"/>
        <v>82676.017999999996</v>
      </c>
      <c r="G174">
        <f t="shared" si="58"/>
        <v>2025</v>
      </c>
      <c r="H174" s="11">
        <f t="shared" si="59"/>
        <v>6442.260000000002</v>
      </c>
      <c r="I174">
        <f t="shared" si="60"/>
        <v>2019</v>
      </c>
      <c r="J174" s="11">
        <f t="shared" si="61"/>
        <v>56523.109999999986</v>
      </c>
      <c r="K174">
        <f t="shared" si="62"/>
        <v>2019</v>
      </c>
      <c r="M174" s="11">
        <f t="shared" si="63"/>
        <v>79896</v>
      </c>
      <c r="N174" s="11">
        <f t="shared" si="65"/>
        <v>2019</v>
      </c>
      <c r="O174" s="11">
        <f t="shared" si="64"/>
        <v>56523.109999999986</v>
      </c>
      <c r="P174" s="11">
        <f t="shared" si="66"/>
        <v>2019</v>
      </c>
      <c r="Q174" s="12"/>
      <c r="R174" s="12"/>
    </row>
    <row r="175" spans="1:18" x14ac:dyDescent="0.35">
      <c r="A175" t="str">
        <f t="shared" si="14"/>
        <v>ALVEAR_10</v>
      </c>
      <c r="B175" t="s">
        <v>5</v>
      </c>
      <c r="C175">
        <v>10</v>
      </c>
      <c r="D175" s="11">
        <f t="shared" si="55"/>
        <v>4778</v>
      </c>
      <c r="E175">
        <f t="shared" si="56"/>
        <v>2024</v>
      </c>
      <c r="F175" s="11">
        <f t="shared" si="57"/>
        <v>86712.002999999982</v>
      </c>
      <c r="G175">
        <f t="shared" si="58"/>
        <v>2025</v>
      </c>
      <c r="H175" s="11">
        <f t="shared" si="59"/>
        <v>6145.5400000000009</v>
      </c>
      <c r="I175">
        <f t="shared" si="60"/>
        <v>2020</v>
      </c>
      <c r="J175" s="11">
        <f t="shared" si="61"/>
        <v>59259.499940000002</v>
      </c>
      <c r="K175">
        <f t="shared" si="62"/>
        <v>2020</v>
      </c>
      <c r="M175" s="11">
        <f t="shared" si="63"/>
        <v>81188</v>
      </c>
      <c r="N175" s="11">
        <f t="shared" si="65"/>
        <v>2019</v>
      </c>
      <c r="O175" s="11">
        <f t="shared" si="64"/>
        <v>59259.499940000002</v>
      </c>
      <c r="P175" s="11">
        <f t="shared" si="66"/>
        <v>2020</v>
      </c>
      <c r="Q175" s="12"/>
      <c r="R175" s="12"/>
    </row>
    <row r="176" spans="1:18" x14ac:dyDescent="0.35">
      <c r="A176" t="str">
        <f t="shared" si="14"/>
        <v>ALVEAR_11</v>
      </c>
      <c r="B176" t="s">
        <v>5</v>
      </c>
      <c r="C176">
        <v>11</v>
      </c>
      <c r="D176" s="11">
        <f t="shared" si="55"/>
        <v>4139</v>
      </c>
      <c r="E176">
        <f t="shared" si="56"/>
        <v>2024</v>
      </c>
      <c r="F176" s="11">
        <f t="shared" si="57"/>
        <v>84085</v>
      </c>
      <c r="G176">
        <f t="shared" si="58"/>
        <v>2019</v>
      </c>
      <c r="H176" s="11">
        <f t="shared" si="59"/>
        <v>6168.3150000000023</v>
      </c>
      <c r="I176">
        <f t="shared" si="60"/>
        <v>2019</v>
      </c>
      <c r="J176" s="11">
        <f t="shared" si="61"/>
        <v>64653.344999999987</v>
      </c>
      <c r="K176">
        <f t="shared" si="62"/>
        <v>2019</v>
      </c>
      <c r="M176" s="11">
        <f t="shared" si="63"/>
        <v>84085</v>
      </c>
      <c r="N176" s="11">
        <f t="shared" si="65"/>
        <v>2019</v>
      </c>
      <c r="O176" s="11">
        <f t="shared" si="64"/>
        <v>64653.344999999987</v>
      </c>
      <c r="P176" s="11">
        <f t="shared" si="66"/>
        <v>2019</v>
      </c>
      <c r="Q176" s="12"/>
      <c r="R176" s="12"/>
    </row>
    <row r="177" spans="1:18" x14ac:dyDescent="0.35">
      <c r="A177" t="str">
        <f t="shared" si="14"/>
        <v>ALVEAR_12</v>
      </c>
      <c r="B177" t="s">
        <v>5</v>
      </c>
      <c r="C177">
        <v>12</v>
      </c>
      <c r="D177" s="11">
        <f t="shared" si="55"/>
        <v>6912</v>
      </c>
      <c r="E177">
        <f t="shared" si="56"/>
        <v>2019</v>
      </c>
      <c r="F177" s="11">
        <f t="shared" si="57"/>
        <v>90997</v>
      </c>
      <c r="G177">
        <f t="shared" si="58"/>
        <v>2019</v>
      </c>
      <c r="H177" s="11">
        <f t="shared" si="59"/>
        <v>8609.2599999999948</v>
      </c>
      <c r="I177">
        <f t="shared" si="60"/>
        <v>2019</v>
      </c>
      <c r="J177" s="11">
        <f t="shared" si="61"/>
        <v>73262.604999999981</v>
      </c>
      <c r="K177">
        <f t="shared" si="62"/>
        <v>2019</v>
      </c>
      <c r="M177" s="11">
        <f t="shared" si="63"/>
        <v>90997</v>
      </c>
      <c r="N177" s="11">
        <f t="shared" si="65"/>
        <v>2019</v>
      </c>
      <c r="O177" s="11">
        <f t="shared" si="64"/>
        <v>73262.604999999981</v>
      </c>
      <c r="P177" s="11">
        <f t="shared" si="66"/>
        <v>2019</v>
      </c>
      <c r="Q177" s="12"/>
      <c r="R177" s="12"/>
    </row>
    <row r="178" spans="1:18" x14ac:dyDescent="0.35">
      <c r="A178" t="str">
        <f t="shared" si="14"/>
        <v>BALCARCE_1</v>
      </c>
      <c r="B178" t="s">
        <v>6</v>
      </c>
      <c r="C178">
        <v>1</v>
      </c>
      <c r="D178" s="11">
        <f t="shared" ref="D178:D189" si="67">+_xlfn.MAXIFS($AI$6:$AI$113,$AH$6:$AH$113,$C178)</f>
        <v>41203.745999999999</v>
      </c>
      <c r="E178">
        <f t="shared" ref="E178:E189" si="68">+VLOOKUP(D178,$AI$6:$AM$113,5,FALSE)</f>
        <v>2025</v>
      </c>
      <c r="F178" s="11">
        <f t="shared" ref="F178:F189" si="69">+_xlfn.MAXIFS($AJ$6:$AJ$113,$AH$6:$AH$113,$C178)</f>
        <v>41203.745999999999</v>
      </c>
      <c r="G178">
        <f t="shared" ref="G178:G189" si="70">+VLOOKUP(F178,$AJ$6:$AM$113,4,FALSE)</f>
        <v>2025</v>
      </c>
      <c r="H178" s="11">
        <f t="shared" ref="H178:H189" si="71">+_xlfn.MAXIFS($AK$6:$AK$113,$AH$6:$AH$113,$C178)</f>
        <v>10772.826500000003</v>
      </c>
      <c r="I178">
        <f t="shared" ref="I178:I189" si="72">+VLOOKUP(H178,$AK$6:$AM$113,3,FALSE)</f>
        <v>2019</v>
      </c>
      <c r="J178" s="11">
        <f t="shared" ref="J178:J189" si="73">+_xlfn.MAXIFS($AL$6:$AL$113,$AH$6:$AH$113,$C178)</f>
        <v>10772.826500000003</v>
      </c>
      <c r="K178">
        <f t="shared" ref="K178:K189" si="74">+VLOOKUP(J178,$AL$6:$AM$113,2,FALSE)</f>
        <v>2019</v>
      </c>
      <c r="M178" s="11">
        <f t="shared" ref="M178:M189" si="75">+_xlfn.MAXIFS($AJ$6:$AJ$113,$D$6:$D$113,$C178,$BK$6:$BK$113,"&lt;2025")</f>
        <v>38305</v>
      </c>
      <c r="N178" s="11">
        <f>+VLOOKUP(M178,$AJ$6:$AM$113,4,FALSE)</f>
        <v>2019</v>
      </c>
      <c r="O178" s="11">
        <f t="shared" ref="O178:O189" si="76">+_xlfn.MAXIFS($AL$6:$AL$113,$AH$6:$AH$113,$C178,$BK$6:$BK$113,"&lt;2025")</f>
        <v>10772.826500000003</v>
      </c>
      <c r="P178" s="11">
        <f>+VLOOKUP(O178,$AL$6:$AM$113,2,FALSE)</f>
        <v>2019</v>
      </c>
      <c r="Q178" s="12"/>
      <c r="R178" s="12"/>
    </row>
    <row r="179" spans="1:18" x14ac:dyDescent="0.35">
      <c r="A179" t="str">
        <f t="shared" si="14"/>
        <v>BALCARCE_2</v>
      </c>
      <c r="B179" t="s">
        <v>6</v>
      </c>
      <c r="C179">
        <v>2</v>
      </c>
      <c r="D179" s="11">
        <f t="shared" si="67"/>
        <v>15238.427000000003</v>
      </c>
      <c r="E179">
        <f t="shared" si="68"/>
        <v>2025</v>
      </c>
      <c r="F179" s="11">
        <f t="shared" si="69"/>
        <v>56442.173000000003</v>
      </c>
      <c r="G179">
        <f t="shared" si="70"/>
        <v>2025</v>
      </c>
      <c r="H179" s="11">
        <f t="shared" si="71"/>
        <v>9354.7900000000027</v>
      </c>
      <c r="I179">
        <f t="shared" si="72"/>
        <v>2025</v>
      </c>
      <c r="J179" s="11">
        <f t="shared" si="73"/>
        <v>17534.120000000003</v>
      </c>
      <c r="K179">
        <f t="shared" si="74"/>
        <v>2025</v>
      </c>
      <c r="M179" s="11">
        <f t="shared" si="75"/>
        <v>40530</v>
      </c>
      <c r="N179" s="11">
        <f t="shared" ref="N179:N189" si="77">+VLOOKUP(M179,$AJ$6:$AM$113,4,FALSE)</f>
        <v>2019</v>
      </c>
      <c r="O179" s="11">
        <f t="shared" si="76"/>
        <v>14225.640500000001</v>
      </c>
      <c r="P179" s="11">
        <f t="shared" ref="P179:P189" si="78">+VLOOKUP(O179,$AL$6:$AM$113,2,FALSE)</f>
        <v>2019</v>
      </c>
      <c r="Q179" s="12"/>
      <c r="R179" s="12"/>
    </row>
    <row r="180" spans="1:18" x14ac:dyDescent="0.35">
      <c r="A180" t="str">
        <f t="shared" si="14"/>
        <v>BALCARCE_3</v>
      </c>
      <c r="B180" t="s">
        <v>6</v>
      </c>
      <c r="C180">
        <v>3</v>
      </c>
      <c r="D180" s="11">
        <f t="shared" si="67"/>
        <v>11197</v>
      </c>
      <c r="E180">
        <f t="shared" si="68"/>
        <v>2018</v>
      </c>
      <c r="F180" s="11">
        <f t="shared" si="69"/>
        <v>61598.036000000007</v>
      </c>
      <c r="G180">
        <f t="shared" si="70"/>
        <v>2025</v>
      </c>
      <c r="H180" s="11">
        <f t="shared" si="71"/>
        <v>7043.6000000000022</v>
      </c>
      <c r="I180">
        <f t="shared" si="72"/>
        <v>2018</v>
      </c>
      <c r="J180" s="11">
        <f t="shared" si="73"/>
        <v>24413.230000000003</v>
      </c>
      <c r="K180">
        <f t="shared" si="74"/>
        <v>2025</v>
      </c>
      <c r="M180" s="11">
        <f t="shared" si="75"/>
        <v>47661</v>
      </c>
      <c r="N180" s="11">
        <f t="shared" si="77"/>
        <v>2019</v>
      </c>
      <c r="O180" s="11">
        <f t="shared" si="76"/>
        <v>21130.800000000003</v>
      </c>
      <c r="P180" s="11">
        <f t="shared" si="78"/>
        <v>2018</v>
      </c>
      <c r="Q180" s="12"/>
      <c r="R180" s="12"/>
    </row>
    <row r="181" spans="1:18" x14ac:dyDescent="0.35">
      <c r="A181" t="str">
        <f t="shared" si="14"/>
        <v>BALCARCE_4</v>
      </c>
      <c r="B181" t="s">
        <v>6</v>
      </c>
      <c r="C181">
        <v>4</v>
      </c>
      <c r="D181" s="11">
        <f t="shared" si="67"/>
        <v>12724.963999999993</v>
      </c>
      <c r="E181">
        <f t="shared" si="68"/>
        <v>2025</v>
      </c>
      <c r="F181" s="11">
        <f t="shared" si="69"/>
        <v>74323</v>
      </c>
      <c r="G181">
        <f t="shared" si="70"/>
        <v>2025</v>
      </c>
      <c r="H181" s="11">
        <f t="shared" si="71"/>
        <v>11244.355500000001</v>
      </c>
      <c r="I181">
        <f t="shared" si="72"/>
        <v>2019</v>
      </c>
      <c r="J181" s="11">
        <f t="shared" si="73"/>
        <v>30448.654000000002</v>
      </c>
      <c r="K181">
        <f t="shared" si="74"/>
        <v>2019</v>
      </c>
      <c r="M181" s="11">
        <f t="shared" si="75"/>
        <v>57239</v>
      </c>
      <c r="N181" s="11">
        <f t="shared" si="77"/>
        <v>2019</v>
      </c>
      <c r="O181" s="11">
        <f t="shared" si="76"/>
        <v>30448.654000000002</v>
      </c>
      <c r="P181" s="11">
        <f t="shared" si="78"/>
        <v>2019</v>
      </c>
      <c r="Q181" s="12"/>
      <c r="R181" s="12"/>
    </row>
    <row r="182" spans="1:18" x14ac:dyDescent="0.35">
      <c r="A182" t="str">
        <f t="shared" si="14"/>
        <v>BALCARCE_5</v>
      </c>
      <c r="B182" t="s">
        <v>6</v>
      </c>
      <c r="C182">
        <v>5</v>
      </c>
      <c r="D182" s="11">
        <f t="shared" si="67"/>
        <v>17008</v>
      </c>
      <c r="E182">
        <f t="shared" si="68"/>
        <v>2024</v>
      </c>
      <c r="F182" s="11">
        <f t="shared" si="69"/>
        <v>88034.178000000014</v>
      </c>
      <c r="G182">
        <f t="shared" si="70"/>
        <v>2025</v>
      </c>
      <c r="H182" s="11">
        <f t="shared" si="71"/>
        <v>14753.889999999992</v>
      </c>
      <c r="I182">
        <f t="shared" si="72"/>
        <v>2019</v>
      </c>
      <c r="J182" s="11">
        <f t="shared" si="73"/>
        <v>45202.543999999994</v>
      </c>
      <c r="K182">
        <f t="shared" si="74"/>
        <v>2019</v>
      </c>
      <c r="M182" s="11">
        <f t="shared" si="75"/>
        <v>74140</v>
      </c>
      <c r="N182" s="11">
        <f t="shared" si="77"/>
        <v>2019</v>
      </c>
      <c r="O182" s="11">
        <f t="shared" si="76"/>
        <v>45202.543999999994</v>
      </c>
      <c r="P182" s="11">
        <f t="shared" si="78"/>
        <v>2019</v>
      </c>
      <c r="Q182" s="12"/>
      <c r="R182" s="12"/>
    </row>
    <row r="183" spans="1:18" x14ac:dyDescent="0.35">
      <c r="A183" t="str">
        <f t="shared" ref="A183:A225" si="79">+CONCATENATE(B183&amp;"_"&amp;C183)</f>
        <v>BALCARCE_6</v>
      </c>
      <c r="B183" t="s">
        <v>6</v>
      </c>
      <c r="C183">
        <v>6</v>
      </c>
      <c r="D183" s="11">
        <f t="shared" si="67"/>
        <v>16865.125999999989</v>
      </c>
      <c r="E183">
        <f t="shared" si="68"/>
        <v>2025</v>
      </c>
      <c r="F183" s="11">
        <f t="shared" si="69"/>
        <v>104899.304</v>
      </c>
      <c r="G183">
        <f t="shared" si="70"/>
        <v>2025</v>
      </c>
      <c r="H183" s="11">
        <f t="shared" si="71"/>
        <v>14597.25</v>
      </c>
      <c r="I183">
        <f t="shared" si="72"/>
        <v>2025</v>
      </c>
      <c r="J183" s="11">
        <f t="shared" si="73"/>
        <v>53507.342499999992</v>
      </c>
      <c r="K183">
        <f t="shared" si="74"/>
        <v>2019</v>
      </c>
      <c r="M183" s="11">
        <f t="shared" si="75"/>
        <v>83880</v>
      </c>
      <c r="N183" s="11">
        <f t="shared" si="77"/>
        <v>2019</v>
      </c>
      <c r="O183" s="11">
        <f t="shared" si="76"/>
        <v>53507.342499999992</v>
      </c>
      <c r="P183" s="11">
        <f t="shared" si="78"/>
        <v>2019</v>
      </c>
      <c r="Q183" s="12"/>
      <c r="R183" s="12"/>
    </row>
    <row r="184" spans="1:18" x14ac:dyDescent="0.35">
      <c r="A184" t="str">
        <f t="shared" si="79"/>
        <v>BALCARCE_7</v>
      </c>
      <c r="B184" t="s">
        <v>6</v>
      </c>
      <c r="C184">
        <v>7</v>
      </c>
      <c r="D184" s="11">
        <f t="shared" si="67"/>
        <v>16684</v>
      </c>
      <c r="E184">
        <f t="shared" si="68"/>
        <v>2024</v>
      </c>
      <c r="F184" s="11">
        <f t="shared" si="69"/>
        <v>114963.99600000001</v>
      </c>
      <c r="G184">
        <f t="shared" si="70"/>
        <v>2025</v>
      </c>
      <c r="H184" s="11">
        <f t="shared" si="71"/>
        <v>21367.59</v>
      </c>
      <c r="I184">
        <f t="shared" si="72"/>
        <v>2024</v>
      </c>
      <c r="J184" s="11">
        <f t="shared" si="73"/>
        <v>64572.710000000006</v>
      </c>
      <c r="K184">
        <f t="shared" si="74"/>
        <v>2025</v>
      </c>
      <c r="M184" s="11">
        <f t="shared" si="75"/>
        <v>87811</v>
      </c>
      <c r="N184" s="11">
        <f t="shared" si="77"/>
        <v>2019</v>
      </c>
      <c r="O184" s="11">
        <f t="shared" si="76"/>
        <v>60976.482999999993</v>
      </c>
      <c r="P184" s="11">
        <f t="shared" si="78"/>
        <v>2019</v>
      </c>
      <c r="Q184" s="12"/>
      <c r="R184" s="12"/>
    </row>
    <row r="185" spans="1:18" x14ac:dyDescent="0.35">
      <c r="A185" t="str">
        <f t="shared" si="79"/>
        <v>BALCARCE_8</v>
      </c>
      <c r="B185" t="s">
        <v>6</v>
      </c>
      <c r="C185">
        <v>8</v>
      </c>
      <c r="D185" s="11">
        <f t="shared" si="67"/>
        <v>13125</v>
      </c>
      <c r="E185">
        <f t="shared" si="68"/>
        <v>2024</v>
      </c>
      <c r="F185" s="11">
        <f t="shared" si="69"/>
        <v>123530.72700000001</v>
      </c>
      <c r="G185">
        <f t="shared" si="70"/>
        <v>2025</v>
      </c>
      <c r="H185" s="11">
        <f t="shared" si="71"/>
        <v>17499.910000000003</v>
      </c>
      <c r="I185">
        <f t="shared" si="72"/>
        <v>2025</v>
      </c>
      <c r="J185" s="11">
        <f t="shared" si="73"/>
        <v>82072.62000000001</v>
      </c>
      <c r="K185">
        <f t="shared" si="74"/>
        <v>2025</v>
      </c>
      <c r="M185" s="11">
        <f t="shared" si="75"/>
        <v>98832</v>
      </c>
      <c r="N185" s="11">
        <f t="shared" si="77"/>
        <v>2019</v>
      </c>
      <c r="O185" s="11">
        <f t="shared" si="76"/>
        <v>66714.280999999988</v>
      </c>
      <c r="P185" s="11">
        <f t="shared" si="78"/>
        <v>2019</v>
      </c>
      <c r="Q185" s="12"/>
      <c r="R185" s="12"/>
    </row>
    <row r="186" spans="1:18" x14ac:dyDescent="0.35">
      <c r="A186" t="str">
        <f t="shared" si="79"/>
        <v>BALCARCE_9</v>
      </c>
      <c r="B186" t="s">
        <v>6</v>
      </c>
      <c r="C186">
        <v>9</v>
      </c>
      <c r="D186" s="11">
        <f t="shared" si="67"/>
        <v>10623</v>
      </c>
      <c r="E186">
        <f t="shared" si="68"/>
        <v>2020</v>
      </c>
      <c r="F186" s="11">
        <f t="shared" si="69"/>
        <v>130508.14</v>
      </c>
      <c r="G186">
        <f t="shared" si="70"/>
        <v>2025</v>
      </c>
      <c r="H186" s="11">
        <f t="shared" si="71"/>
        <v>10361.12999999999</v>
      </c>
      <c r="I186">
        <f t="shared" si="72"/>
        <v>2025</v>
      </c>
      <c r="J186" s="11">
        <f t="shared" si="73"/>
        <v>92433.75</v>
      </c>
      <c r="K186">
        <f t="shared" si="74"/>
        <v>2025</v>
      </c>
      <c r="M186" s="11">
        <f t="shared" si="75"/>
        <v>104881</v>
      </c>
      <c r="N186" s="11">
        <f t="shared" si="77"/>
        <v>2019</v>
      </c>
      <c r="O186" s="11">
        <f t="shared" si="76"/>
        <v>73558.930999999982</v>
      </c>
      <c r="P186" s="11">
        <f t="shared" si="78"/>
        <v>2019</v>
      </c>
      <c r="Q186" s="12"/>
      <c r="R186" s="12"/>
    </row>
    <row r="187" spans="1:18" x14ac:dyDescent="0.35">
      <c r="A187" t="str">
        <f t="shared" si="79"/>
        <v>BALCARCE_10</v>
      </c>
      <c r="B187" t="s">
        <v>6</v>
      </c>
      <c r="C187">
        <v>10</v>
      </c>
      <c r="D187" s="11">
        <f t="shared" si="67"/>
        <v>7036.7050000000017</v>
      </c>
      <c r="E187">
        <f t="shared" si="68"/>
        <v>2025</v>
      </c>
      <c r="F187" s="11">
        <f t="shared" si="69"/>
        <v>137544.845</v>
      </c>
      <c r="G187">
        <f t="shared" si="70"/>
        <v>2025</v>
      </c>
      <c r="H187" s="11">
        <f t="shared" si="71"/>
        <v>6240.6000000000204</v>
      </c>
      <c r="I187">
        <f t="shared" si="72"/>
        <v>2025</v>
      </c>
      <c r="J187" s="11">
        <f t="shared" si="73"/>
        <v>98674.35000000002</v>
      </c>
      <c r="K187">
        <f t="shared" si="74"/>
        <v>2025</v>
      </c>
      <c r="M187" s="11">
        <f t="shared" si="75"/>
        <v>106869</v>
      </c>
      <c r="N187" s="11">
        <f t="shared" si="77"/>
        <v>2019</v>
      </c>
      <c r="O187" s="11">
        <f t="shared" si="76"/>
        <v>76116.720999999976</v>
      </c>
      <c r="P187" s="11">
        <f t="shared" si="78"/>
        <v>2019</v>
      </c>
      <c r="Q187" s="12"/>
      <c r="R187" s="12"/>
    </row>
    <row r="188" spans="1:18" x14ac:dyDescent="0.35">
      <c r="A188" t="str">
        <f t="shared" si="79"/>
        <v>BALCARCE_11</v>
      </c>
      <c r="B188" t="s">
        <v>6</v>
      </c>
      <c r="C188">
        <v>11</v>
      </c>
      <c r="D188" s="11">
        <f t="shared" si="67"/>
        <v>2144</v>
      </c>
      <c r="E188">
        <f t="shared" si="68"/>
        <v>2021</v>
      </c>
      <c r="F188" s="11">
        <f t="shared" si="69"/>
        <v>103925</v>
      </c>
      <c r="G188">
        <f t="shared" si="70"/>
        <v>2020</v>
      </c>
      <c r="H188" s="11">
        <f t="shared" si="71"/>
        <v>5044.22</v>
      </c>
      <c r="I188">
        <f t="shared" si="72"/>
        <v>2024</v>
      </c>
      <c r="J188" s="11">
        <f t="shared" si="73"/>
        <v>76317.440999999977</v>
      </c>
      <c r="K188">
        <f t="shared" si="74"/>
        <v>2019</v>
      </c>
      <c r="M188" s="11">
        <f t="shared" si="75"/>
        <v>103925</v>
      </c>
      <c r="N188" s="11">
        <f t="shared" si="77"/>
        <v>2020</v>
      </c>
      <c r="O188" s="11">
        <f t="shared" si="76"/>
        <v>76317.440999999977</v>
      </c>
      <c r="P188" s="11">
        <f t="shared" si="78"/>
        <v>2019</v>
      </c>
      <c r="Q188" s="12"/>
      <c r="R188" s="12"/>
    </row>
    <row r="189" spans="1:18" x14ac:dyDescent="0.35">
      <c r="A189" t="str">
        <f t="shared" si="79"/>
        <v>BALCARCE_12</v>
      </c>
      <c r="B189" t="s">
        <v>6</v>
      </c>
      <c r="C189">
        <v>12</v>
      </c>
      <c r="D189" s="11">
        <f t="shared" si="67"/>
        <v>15690</v>
      </c>
      <c r="E189">
        <f t="shared" si="68"/>
        <v>2024</v>
      </c>
      <c r="F189" s="11">
        <f t="shared" si="69"/>
        <v>119089</v>
      </c>
      <c r="G189">
        <f t="shared" si="70"/>
        <v>2024</v>
      </c>
      <c r="H189" s="11">
        <f t="shared" si="71"/>
        <v>10930.71</v>
      </c>
      <c r="I189">
        <f t="shared" si="72"/>
        <v>2024</v>
      </c>
      <c r="J189" s="11">
        <f t="shared" si="73"/>
        <v>82910.679999999993</v>
      </c>
      <c r="K189">
        <f t="shared" si="74"/>
        <v>2024</v>
      </c>
      <c r="M189" s="11">
        <f t="shared" si="75"/>
        <v>119089</v>
      </c>
      <c r="N189" s="11">
        <f t="shared" si="77"/>
        <v>2024</v>
      </c>
      <c r="O189" s="11">
        <f t="shared" si="76"/>
        <v>82910.679999999993</v>
      </c>
      <c r="P189" s="11">
        <f t="shared" si="78"/>
        <v>2024</v>
      </c>
      <c r="Q189" s="12"/>
      <c r="R189" s="12"/>
    </row>
    <row r="190" spans="1:18" x14ac:dyDescent="0.35">
      <c r="A190" t="str">
        <f t="shared" si="79"/>
        <v>GRANADA_1</v>
      </c>
      <c r="B190" t="s">
        <v>7</v>
      </c>
      <c r="C190">
        <v>1</v>
      </c>
      <c r="D190" s="11">
        <f t="shared" ref="D190:D201" si="80">+_xlfn.MAXIFS($AO$6:$AO$113,$AN$6:$AN$113,$C190)</f>
        <v>23289</v>
      </c>
      <c r="E190">
        <f t="shared" ref="E190:E201" si="81">+VLOOKUP(D190,$AO$6:$AS$113,5,FALSE)</f>
        <v>2021</v>
      </c>
      <c r="F190" s="11">
        <f t="shared" ref="F190:F201" si="82">+_xlfn.MAXIFS($AP$6:$AP$113,$AN$6:$AN$113,$C190)</f>
        <v>23289</v>
      </c>
      <c r="G190">
        <f t="shared" ref="G190:G201" si="83">+VLOOKUP(F190,$AP$6:$AS$113,4,FALSE)</f>
        <v>2021</v>
      </c>
      <c r="H190" s="11">
        <f t="shared" ref="H190:H201" si="84">+_xlfn.MAXIFS($AQ$6:$AQ$113,$AN$6:$AN$113,$C190)</f>
        <v>6150.6</v>
      </c>
      <c r="I190">
        <f t="shared" ref="I190:I201" si="85">+VLOOKUP(H190,$AQ$6:$AS$113,3,FALSE)</f>
        <v>2018</v>
      </c>
      <c r="J190" s="11">
        <f t="shared" ref="J190:J201" si="86">+_xlfn.MAXIFS($AR$6:$AR$113,$AN$6:$AN$113,$C190)</f>
        <v>6150.6</v>
      </c>
      <c r="K190">
        <f t="shared" ref="K190:K201" si="87">+VLOOKUP(J190,$AR$6:$AS$113,2,FALSE)</f>
        <v>2018</v>
      </c>
      <c r="M190" s="11">
        <f t="shared" ref="M190:M201" si="88">+_xlfn.MAXIFS($AP$6:$AP$113,$D$6:$D$113,$C190,$BK$6:$BK$113,"&lt;2025")</f>
        <v>23289</v>
      </c>
      <c r="N190" s="11">
        <f>+VLOOKUP(M190,$AP$6:$AS$113,4,FALSE)</f>
        <v>2021</v>
      </c>
      <c r="O190" s="11">
        <f t="shared" ref="O190:O201" si="89">+_xlfn.MAXIFS($AR$6:$AR$113,$AN$6:$AN$113,$C190,$BK$6:$BK$113,"&lt;2025")</f>
        <v>6150.6</v>
      </c>
      <c r="P190" s="11">
        <f>+VLOOKUP(O190,$AR$6:$AS$113,2,FALSE)</f>
        <v>2018</v>
      </c>
      <c r="Q190" s="12"/>
      <c r="R190" s="12"/>
    </row>
    <row r="191" spans="1:18" x14ac:dyDescent="0.35">
      <c r="A191" t="str">
        <f t="shared" si="79"/>
        <v>GRANADA_2</v>
      </c>
      <c r="B191" t="s">
        <v>7</v>
      </c>
      <c r="C191">
        <v>2</v>
      </c>
      <c r="D191" s="11">
        <f t="shared" si="80"/>
        <v>9001</v>
      </c>
      <c r="E191">
        <f t="shared" si="81"/>
        <v>2018</v>
      </c>
      <c r="F191" s="11">
        <f t="shared" si="82"/>
        <v>26450</v>
      </c>
      <c r="G191">
        <f t="shared" si="83"/>
        <v>2021</v>
      </c>
      <c r="H191" s="11">
        <f t="shared" si="84"/>
        <v>6150.6</v>
      </c>
      <c r="I191">
        <f t="shared" si="85"/>
        <v>2018</v>
      </c>
      <c r="J191" s="11">
        <f t="shared" si="86"/>
        <v>12301.2</v>
      </c>
      <c r="K191">
        <f t="shared" si="87"/>
        <v>2018</v>
      </c>
      <c r="M191" s="11">
        <f t="shared" si="88"/>
        <v>26450</v>
      </c>
      <c r="N191" s="11">
        <f t="shared" ref="N191:N201" si="90">+VLOOKUP(M191,$AP$6:$AS$113,4,FALSE)</f>
        <v>2021</v>
      </c>
      <c r="O191" s="11">
        <f t="shared" si="89"/>
        <v>12301.2</v>
      </c>
      <c r="P191" s="11">
        <f t="shared" ref="P191:P201" si="91">+VLOOKUP(O191,$AR$6:$AS$113,2,FALSE)</f>
        <v>2018</v>
      </c>
      <c r="Q191" s="12"/>
      <c r="R191" s="12"/>
    </row>
    <row r="192" spans="1:18" x14ac:dyDescent="0.35">
      <c r="A192" t="str">
        <f t="shared" si="79"/>
        <v>GRANADA_3</v>
      </c>
      <c r="B192" t="s">
        <v>7</v>
      </c>
      <c r="C192">
        <v>3</v>
      </c>
      <c r="D192" s="11">
        <f t="shared" si="80"/>
        <v>14151</v>
      </c>
      <c r="E192">
        <f t="shared" si="81"/>
        <v>2019</v>
      </c>
      <c r="F192" s="11">
        <f t="shared" si="82"/>
        <v>31535</v>
      </c>
      <c r="G192">
        <f t="shared" si="83"/>
        <v>2021</v>
      </c>
      <c r="H192" s="11">
        <f t="shared" si="84"/>
        <v>9238.5600000000031</v>
      </c>
      <c r="I192">
        <f t="shared" si="85"/>
        <v>2019</v>
      </c>
      <c r="J192" s="11">
        <f t="shared" si="86"/>
        <v>18451.800000000003</v>
      </c>
      <c r="K192">
        <f t="shared" si="87"/>
        <v>2018</v>
      </c>
      <c r="M192" s="11">
        <f t="shared" si="88"/>
        <v>31535</v>
      </c>
      <c r="N192" s="11">
        <f t="shared" si="90"/>
        <v>2021</v>
      </c>
      <c r="O192" s="11">
        <f t="shared" si="89"/>
        <v>18451.800000000003</v>
      </c>
      <c r="P192" s="11">
        <f t="shared" si="91"/>
        <v>2018</v>
      </c>
      <c r="Q192" s="12"/>
      <c r="R192" s="12"/>
    </row>
    <row r="193" spans="1:18" x14ac:dyDescent="0.35">
      <c r="A193" t="str">
        <f t="shared" si="79"/>
        <v>GRANADA_4</v>
      </c>
      <c r="B193" t="s">
        <v>7</v>
      </c>
      <c r="C193">
        <v>4</v>
      </c>
      <c r="D193" s="11">
        <f t="shared" si="80"/>
        <v>24226</v>
      </c>
      <c r="E193">
        <f t="shared" si="81"/>
        <v>2020</v>
      </c>
      <c r="F193" s="11">
        <f t="shared" si="82"/>
        <v>54381</v>
      </c>
      <c r="G193">
        <f t="shared" si="83"/>
        <v>2019</v>
      </c>
      <c r="H193" s="11">
        <f t="shared" si="84"/>
        <v>14330.465</v>
      </c>
      <c r="I193">
        <f t="shared" si="85"/>
        <v>2020</v>
      </c>
      <c r="J193" s="11">
        <f t="shared" si="86"/>
        <v>26214.584500000004</v>
      </c>
      <c r="K193">
        <f t="shared" si="87"/>
        <v>2019</v>
      </c>
      <c r="M193" s="11">
        <f t="shared" si="88"/>
        <v>54381</v>
      </c>
      <c r="N193" s="11">
        <f t="shared" si="90"/>
        <v>2019</v>
      </c>
      <c r="O193" s="11">
        <f t="shared" si="89"/>
        <v>26214.584500000004</v>
      </c>
      <c r="P193" s="11">
        <f t="shared" si="91"/>
        <v>2019</v>
      </c>
      <c r="Q193" s="12"/>
      <c r="R193" s="12"/>
    </row>
    <row r="194" spans="1:18" x14ac:dyDescent="0.35">
      <c r="A194" t="str">
        <f t="shared" si="79"/>
        <v>GRANADA_5</v>
      </c>
      <c r="B194" t="s">
        <v>7</v>
      </c>
      <c r="C194">
        <v>5</v>
      </c>
      <c r="D194" s="11">
        <f t="shared" si="80"/>
        <v>18629</v>
      </c>
      <c r="E194">
        <f t="shared" si="81"/>
        <v>2024</v>
      </c>
      <c r="F194" s="11">
        <f t="shared" si="82"/>
        <v>67139</v>
      </c>
      <c r="G194">
        <f t="shared" si="83"/>
        <v>2019</v>
      </c>
      <c r="H194" s="11">
        <f t="shared" si="84"/>
        <v>18658.699999999997</v>
      </c>
      <c r="I194">
        <f t="shared" si="85"/>
        <v>2018</v>
      </c>
      <c r="J194" s="11">
        <f t="shared" si="86"/>
        <v>43261.1</v>
      </c>
      <c r="K194">
        <f t="shared" si="87"/>
        <v>2018</v>
      </c>
      <c r="M194" s="11">
        <f t="shared" si="88"/>
        <v>67139</v>
      </c>
      <c r="N194" s="11">
        <f t="shared" si="90"/>
        <v>2019</v>
      </c>
      <c r="O194" s="11">
        <f t="shared" si="89"/>
        <v>43261.1</v>
      </c>
      <c r="P194" s="11">
        <f t="shared" si="91"/>
        <v>2018</v>
      </c>
      <c r="Q194" s="12"/>
      <c r="R194" s="12"/>
    </row>
    <row r="195" spans="1:18" x14ac:dyDescent="0.35">
      <c r="A195" t="str">
        <f t="shared" si="79"/>
        <v>GRANADA_6</v>
      </c>
      <c r="B195" t="s">
        <v>7</v>
      </c>
      <c r="C195">
        <v>6</v>
      </c>
      <c r="D195" s="11">
        <f t="shared" si="80"/>
        <v>14947.080000000016</v>
      </c>
      <c r="E195">
        <f t="shared" si="81"/>
        <v>2025</v>
      </c>
      <c r="F195" s="11">
        <f t="shared" si="82"/>
        <v>76130</v>
      </c>
      <c r="G195">
        <f t="shared" si="83"/>
        <v>2020</v>
      </c>
      <c r="H195" s="11">
        <f t="shared" si="84"/>
        <v>10337.5</v>
      </c>
      <c r="I195">
        <f t="shared" si="85"/>
        <v>2018</v>
      </c>
      <c r="J195" s="11">
        <f t="shared" si="86"/>
        <v>53598.6</v>
      </c>
      <c r="K195">
        <f t="shared" si="87"/>
        <v>2018</v>
      </c>
      <c r="M195" s="11">
        <f t="shared" si="88"/>
        <v>76130</v>
      </c>
      <c r="N195" s="11">
        <f t="shared" si="90"/>
        <v>2020</v>
      </c>
      <c r="O195" s="11">
        <f t="shared" si="89"/>
        <v>53598.6</v>
      </c>
      <c r="P195" s="11">
        <f t="shared" si="91"/>
        <v>2018</v>
      </c>
      <c r="Q195" s="12"/>
      <c r="R195" s="12"/>
    </row>
    <row r="196" spans="1:18" x14ac:dyDescent="0.35">
      <c r="A196" t="str">
        <f t="shared" si="79"/>
        <v>GRANADA_7</v>
      </c>
      <c r="B196" t="s">
        <v>7</v>
      </c>
      <c r="C196">
        <v>7</v>
      </c>
      <c r="D196" s="11">
        <f t="shared" si="80"/>
        <v>13233</v>
      </c>
      <c r="E196">
        <f t="shared" si="81"/>
        <v>2024</v>
      </c>
      <c r="F196" s="11">
        <f t="shared" si="82"/>
        <v>80427</v>
      </c>
      <c r="G196">
        <f t="shared" si="83"/>
        <v>2020</v>
      </c>
      <c r="H196" s="11">
        <f t="shared" si="84"/>
        <v>7102.66</v>
      </c>
      <c r="I196">
        <f t="shared" si="85"/>
        <v>2024</v>
      </c>
      <c r="J196" s="11">
        <f t="shared" si="86"/>
        <v>57712.1</v>
      </c>
      <c r="K196">
        <f t="shared" si="87"/>
        <v>2018</v>
      </c>
      <c r="M196" s="11">
        <f t="shared" si="88"/>
        <v>80427</v>
      </c>
      <c r="N196" s="11">
        <f t="shared" si="90"/>
        <v>2020</v>
      </c>
      <c r="O196" s="11">
        <f t="shared" si="89"/>
        <v>57712.1</v>
      </c>
      <c r="P196" s="11">
        <f t="shared" si="91"/>
        <v>2018</v>
      </c>
      <c r="Q196" s="12"/>
      <c r="R196" s="12"/>
    </row>
    <row r="197" spans="1:18" x14ac:dyDescent="0.35">
      <c r="A197" t="str">
        <f t="shared" si="79"/>
        <v>GRANADA_8</v>
      </c>
      <c r="B197" t="s">
        <v>7</v>
      </c>
      <c r="C197">
        <v>8</v>
      </c>
      <c r="D197" s="11">
        <f t="shared" si="80"/>
        <v>8067</v>
      </c>
      <c r="E197">
        <f t="shared" si="81"/>
        <v>2024</v>
      </c>
      <c r="F197" s="11">
        <f t="shared" si="82"/>
        <v>85712</v>
      </c>
      <c r="G197">
        <f t="shared" si="83"/>
        <v>2019</v>
      </c>
      <c r="H197" s="11">
        <f t="shared" si="84"/>
        <v>3250.4099999999962</v>
      </c>
      <c r="I197">
        <f t="shared" si="85"/>
        <v>2019</v>
      </c>
      <c r="J197" s="11">
        <f t="shared" si="86"/>
        <v>59162.1</v>
      </c>
      <c r="K197">
        <f t="shared" si="87"/>
        <v>2018</v>
      </c>
      <c r="M197" s="11">
        <f t="shared" si="88"/>
        <v>85712</v>
      </c>
      <c r="N197" s="11">
        <f t="shared" si="90"/>
        <v>2019</v>
      </c>
      <c r="O197" s="11">
        <f t="shared" si="89"/>
        <v>59162.1</v>
      </c>
      <c r="P197" s="11">
        <f t="shared" si="91"/>
        <v>2018</v>
      </c>
      <c r="Q197" s="12"/>
      <c r="R197" s="12"/>
    </row>
    <row r="198" spans="1:18" x14ac:dyDescent="0.35">
      <c r="A198" t="str">
        <f t="shared" si="79"/>
        <v>GRANADA_9</v>
      </c>
      <c r="B198" t="s">
        <v>7</v>
      </c>
      <c r="C198">
        <v>9</v>
      </c>
      <c r="D198" s="11">
        <f t="shared" si="80"/>
        <v>7672</v>
      </c>
      <c r="E198">
        <f t="shared" si="81"/>
        <v>2024</v>
      </c>
      <c r="F198" s="11">
        <f t="shared" si="82"/>
        <v>89590</v>
      </c>
      <c r="G198">
        <f t="shared" si="83"/>
        <v>2019</v>
      </c>
      <c r="H198" s="11">
        <f t="shared" si="84"/>
        <v>5236.07</v>
      </c>
      <c r="I198">
        <f t="shared" si="85"/>
        <v>2024</v>
      </c>
      <c r="J198" s="11">
        <f t="shared" si="86"/>
        <v>60216.229999999996</v>
      </c>
      <c r="K198">
        <f t="shared" si="87"/>
        <v>2018</v>
      </c>
      <c r="M198" s="11">
        <f t="shared" si="88"/>
        <v>89590</v>
      </c>
      <c r="N198" s="11">
        <f t="shared" si="90"/>
        <v>2019</v>
      </c>
      <c r="O198" s="11">
        <f t="shared" si="89"/>
        <v>60216.229999999996</v>
      </c>
      <c r="P198" s="11">
        <f t="shared" si="91"/>
        <v>2018</v>
      </c>
      <c r="Q198" s="12"/>
      <c r="R198" s="12"/>
    </row>
    <row r="199" spans="1:18" x14ac:dyDescent="0.35">
      <c r="A199" t="str">
        <f t="shared" si="79"/>
        <v>GRANADA_10</v>
      </c>
      <c r="B199" t="s">
        <v>7</v>
      </c>
      <c r="C199">
        <v>10</v>
      </c>
      <c r="D199" s="11">
        <f t="shared" si="80"/>
        <v>6410</v>
      </c>
      <c r="E199">
        <f t="shared" si="81"/>
        <v>2024</v>
      </c>
      <c r="F199" s="11">
        <f t="shared" si="82"/>
        <v>91903</v>
      </c>
      <c r="G199">
        <f t="shared" si="83"/>
        <v>2020</v>
      </c>
      <c r="H199" s="11">
        <f t="shared" si="84"/>
        <v>6868.5499999999993</v>
      </c>
      <c r="I199">
        <f t="shared" si="85"/>
        <v>2024</v>
      </c>
      <c r="J199" s="11">
        <f t="shared" si="86"/>
        <v>60691.009999999995</v>
      </c>
      <c r="K199">
        <f t="shared" si="87"/>
        <v>2018</v>
      </c>
      <c r="M199" s="11">
        <f t="shared" si="88"/>
        <v>91903</v>
      </c>
      <c r="N199" s="11">
        <f t="shared" si="90"/>
        <v>2020</v>
      </c>
      <c r="O199" s="11">
        <f t="shared" si="89"/>
        <v>60691.009999999995</v>
      </c>
      <c r="P199" s="11">
        <f t="shared" si="91"/>
        <v>2018</v>
      </c>
      <c r="Q199" s="12"/>
      <c r="R199" s="12"/>
    </row>
    <row r="200" spans="1:18" x14ac:dyDescent="0.35">
      <c r="A200" t="str">
        <f t="shared" si="79"/>
        <v>GRANADA_11</v>
      </c>
      <c r="B200" t="s">
        <v>7</v>
      </c>
      <c r="C200">
        <v>11</v>
      </c>
      <c r="D200" s="11">
        <f t="shared" si="80"/>
        <v>8189</v>
      </c>
      <c r="E200">
        <f t="shared" si="81"/>
        <v>2024</v>
      </c>
      <c r="F200" s="11">
        <f t="shared" si="82"/>
        <v>97671</v>
      </c>
      <c r="G200">
        <f t="shared" si="83"/>
        <v>2020</v>
      </c>
      <c r="H200" s="11">
        <f t="shared" si="84"/>
        <v>6019.87</v>
      </c>
      <c r="I200">
        <f t="shared" si="85"/>
        <v>2024</v>
      </c>
      <c r="J200" s="11">
        <f t="shared" si="86"/>
        <v>63081.299999999996</v>
      </c>
      <c r="K200">
        <f t="shared" si="87"/>
        <v>2018</v>
      </c>
      <c r="M200" s="11">
        <f t="shared" si="88"/>
        <v>97671</v>
      </c>
      <c r="N200" s="11">
        <f t="shared" si="90"/>
        <v>2020</v>
      </c>
      <c r="O200" s="11">
        <f t="shared" si="89"/>
        <v>63081.299999999996</v>
      </c>
      <c r="P200" s="11">
        <f t="shared" si="91"/>
        <v>2018</v>
      </c>
      <c r="Q200" s="12"/>
      <c r="R200" s="12"/>
    </row>
    <row r="201" spans="1:18" x14ac:dyDescent="0.35">
      <c r="A201" t="str">
        <f t="shared" si="79"/>
        <v>GRANADA_12</v>
      </c>
      <c r="B201" t="s">
        <v>7</v>
      </c>
      <c r="C201">
        <v>12</v>
      </c>
      <c r="D201" s="11">
        <f t="shared" si="80"/>
        <v>12673.000000000015</v>
      </c>
      <c r="E201">
        <f t="shared" si="81"/>
        <v>2019</v>
      </c>
      <c r="F201" s="11">
        <f t="shared" si="82"/>
        <v>106275</v>
      </c>
      <c r="G201">
        <f t="shared" si="83"/>
        <v>2020</v>
      </c>
      <c r="H201" s="11">
        <f t="shared" si="84"/>
        <v>9423.739999999998</v>
      </c>
      <c r="I201">
        <f t="shared" si="85"/>
        <v>2019</v>
      </c>
      <c r="J201" s="11">
        <f t="shared" si="86"/>
        <v>68740.23</v>
      </c>
      <c r="K201">
        <f t="shared" si="87"/>
        <v>2018</v>
      </c>
      <c r="M201" s="11">
        <f t="shared" si="88"/>
        <v>106275</v>
      </c>
      <c r="N201" s="11">
        <f t="shared" si="90"/>
        <v>2020</v>
      </c>
      <c r="O201" s="11">
        <f t="shared" si="89"/>
        <v>68740.23</v>
      </c>
      <c r="P201" s="11">
        <f t="shared" si="91"/>
        <v>2018</v>
      </c>
      <c r="Q201" s="12"/>
      <c r="R201" s="12"/>
    </row>
    <row r="202" spans="1:18" x14ac:dyDescent="0.35">
      <c r="A202" t="str">
        <f t="shared" si="79"/>
        <v>VILLEGAS_1</v>
      </c>
      <c r="B202" t="s">
        <v>8</v>
      </c>
      <c r="C202">
        <v>1</v>
      </c>
      <c r="D202" s="11">
        <f t="shared" ref="D202:D213" si="92">+_xlfn.MAXIFS($AU$6:$AU$113,$AT$6:$AT$113,$C202)</f>
        <v>16079</v>
      </c>
      <c r="E202">
        <f t="shared" ref="E202:E213" si="93">+VLOOKUP(D202,$AU$6:$AY$113,5,FALSE)</f>
        <v>2021</v>
      </c>
      <c r="F202" s="11">
        <f t="shared" ref="F202:F213" si="94">+_xlfn.MAXIFS($AV$6:$AV$113,$AT$6:$AT$113,$C202)</f>
        <v>16079</v>
      </c>
      <c r="G202">
        <f t="shared" ref="G202:G213" si="95">+VLOOKUP(F202,$AV$6:$AY$113,4,FALSE)</f>
        <v>2021</v>
      </c>
      <c r="H202" s="11">
        <f t="shared" ref="H202:H213" si="96">+_xlfn.MAXIFS($AW$6:$AW$113,$AT$6:$AT$113,$C202)</f>
        <v>0</v>
      </c>
      <c r="I202">
        <f t="shared" ref="I202:I213" si="97">+VLOOKUP(H202,$AW$6:$AY$113,3,FALSE)</f>
        <v>2017</v>
      </c>
      <c r="J202" s="11">
        <f t="shared" ref="J202:J213" si="98">+_xlfn.MAXIFS($AX$6:$AX$113,$AT$6:$AT$113,$C202)</f>
        <v>0</v>
      </c>
      <c r="K202">
        <f t="shared" ref="K202:K213" si="99">+VLOOKUP(J202,$AX$6:$AY$113,2,FALSE)</f>
        <v>2017</v>
      </c>
      <c r="M202" s="11">
        <f t="shared" ref="M202:M213" si="100">+_xlfn.MAXIFS($AV$6:$AV$113,$D$6:$D$113,$C202,$BK$6:$BK$113,"&lt;2025")</f>
        <v>16079</v>
      </c>
      <c r="N202" s="11">
        <f>+VLOOKUP(M202,$AV$6:$AY$113,4,FALSE)</f>
        <v>2021</v>
      </c>
      <c r="O202" s="11">
        <f t="shared" ref="O202:O213" si="101">+_xlfn.MAXIFS($AX$6:$AX$113,$AT$6:$AT$113,$C202,$BK$6:$BK$113,"&lt;2025")</f>
        <v>0</v>
      </c>
      <c r="P202" s="11">
        <f>+VLOOKUP(O202,$AX$6:$AY$113,2,FALSE)</f>
        <v>2017</v>
      </c>
      <c r="Q202" s="12"/>
      <c r="R202" s="12"/>
    </row>
    <row r="203" spans="1:18" x14ac:dyDescent="0.35">
      <c r="A203" t="str">
        <f t="shared" si="79"/>
        <v>VILLEGAS_2</v>
      </c>
      <c r="B203" t="s">
        <v>8</v>
      </c>
      <c r="C203">
        <v>2</v>
      </c>
      <c r="D203" s="11">
        <f t="shared" si="92"/>
        <v>11465.6</v>
      </c>
      <c r="E203">
        <f t="shared" si="93"/>
        <v>2018</v>
      </c>
      <c r="F203" s="11">
        <f t="shared" si="94"/>
        <v>22931.200000000001</v>
      </c>
      <c r="G203">
        <f t="shared" si="95"/>
        <v>2018</v>
      </c>
      <c r="H203" s="11">
        <f t="shared" si="96"/>
        <v>0</v>
      </c>
      <c r="I203">
        <f t="shared" si="97"/>
        <v>2017</v>
      </c>
      <c r="J203" s="11">
        <f t="shared" si="98"/>
        <v>0</v>
      </c>
      <c r="K203">
        <f t="shared" si="99"/>
        <v>2017</v>
      </c>
      <c r="M203" s="11">
        <f t="shared" si="100"/>
        <v>22931.200000000001</v>
      </c>
      <c r="N203" s="11">
        <f t="shared" ref="N203:N213" si="102">+VLOOKUP(M203,$AV$6:$AY$113,4,FALSE)</f>
        <v>2018</v>
      </c>
      <c r="O203" s="11">
        <f t="shared" si="101"/>
        <v>0</v>
      </c>
      <c r="P203" s="11">
        <f t="shared" ref="P203:P213" si="103">+VLOOKUP(O203,$AX$6:$AY$113,2,FALSE)</f>
        <v>2017</v>
      </c>
      <c r="Q203" s="12"/>
      <c r="R203" s="12"/>
    </row>
    <row r="204" spans="1:18" x14ac:dyDescent="0.35">
      <c r="A204" t="str">
        <f t="shared" si="79"/>
        <v>VILLEGAS_3</v>
      </c>
      <c r="B204" t="s">
        <v>8</v>
      </c>
      <c r="C204">
        <v>3</v>
      </c>
      <c r="D204" s="11">
        <f t="shared" si="92"/>
        <v>11465.600000000002</v>
      </c>
      <c r="E204">
        <f t="shared" si="93"/>
        <v>2018</v>
      </c>
      <c r="F204" s="11">
        <f t="shared" si="94"/>
        <v>34396.800000000003</v>
      </c>
      <c r="G204">
        <f t="shared" si="95"/>
        <v>2018</v>
      </c>
      <c r="H204" s="11">
        <f t="shared" si="96"/>
        <v>0</v>
      </c>
      <c r="I204">
        <f t="shared" si="97"/>
        <v>2017</v>
      </c>
      <c r="J204" s="11">
        <f t="shared" si="98"/>
        <v>0</v>
      </c>
      <c r="K204">
        <f t="shared" si="99"/>
        <v>2017</v>
      </c>
      <c r="M204" s="11">
        <f t="shared" si="100"/>
        <v>34396.800000000003</v>
      </c>
      <c r="N204" s="11">
        <f t="shared" si="102"/>
        <v>2018</v>
      </c>
      <c r="O204" s="11">
        <f t="shared" si="101"/>
        <v>0</v>
      </c>
      <c r="P204" s="11">
        <f t="shared" si="103"/>
        <v>2017</v>
      </c>
      <c r="Q204" s="12"/>
      <c r="R204" s="12"/>
    </row>
    <row r="205" spans="1:18" x14ac:dyDescent="0.35">
      <c r="A205" t="str">
        <f t="shared" si="79"/>
        <v>VILLEGAS_4</v>
      </c>
      <c r="B205" t="s">
        <v>8</v>
      </c>
      <c r="C205">
        <v>4</v>
      </c>
      <c r="D205" s="11">
        <f t="shared" si="92"/>
        <v>16980.121999999999</v>
      </c>
      <c r="E205">
        <f t="shared" si="93"/>
        <v>2025</v>
      </c>
      <c r="F205" s="11">
        <f t="shared" si="94"/>
        <v>45862.400000000001</v>
      </c>
      <c r="G205">
        <f t="shared" si="95"/>
        <v>2018</v>
      </c>
      <c r="H205" s="11">
        <f t="shared" si="96"/>
        <v>0</v>
      </c>
      <c r="I205">
        <f t="shared" si="97"/>
        <v>2017</v>
      </c>
      <c r="J205" s="11">
        <f t="shared" si="98"/>
        <v>0</v>
      </c>
      <c r="K205">
        <f t="shared" si="99"/>
        <v>2017</v>
      </c>
      <c r="M205" s="11">
        <f t="shared" si="100"/>
        <v>45862.400000000001</v>
      </c>
      <c r="N205" s="11">
        <f t="shared" si="102"/>
        <v>2018</v>
      </c>
      <c r="O205" s="11">
        <f t="shared" si="101"/>
        <v>0</v>
      </c>
      <c r="P205" s="11">
        <f t="shared" si="103"/>
        <v>2017</v>
      </c>
      <c r="Q205" s="12"/>
      <c r="R205" s="12"/>
    </row>
    <row r="206" spans="1:18" x14ac:dyDescent="0.35">
      <c r="A206" t="str">
        <f t="shared" si="79"/>
        <v>VILLEGAS_5</v>
      </c>
      <c r="B206" t="s">
        <v>8</v>
      </c>
      <c r="C206">
        <v>5</v>
      </c>
      <c r="D206" s="11">
        <f t="shared" si="92"/>
        <v>14598</v>
      </c>
      <c r="E206">
        <f t="shared" si="93"/>
        <v>2024</v>
      </c>
      <c r="F206" s="11">
        <f t="shared" si="94"/>
        <v>57328</v>
      </c>
      <c r="G206">
        <f t="shared" si="95"/>
        <v>2018</v>
      </c>
      <c r="H206" s="11">
        <f t="shared" si="96"/>
        <v>0</v>
      </c>
      <c r="I206">
        <f t="shared" si="97"/>
        <v>2017</v>
      </c>
      <c r="J206" s="11">
        <f t="shared" si="98"/>
        <v>0</v>
      </c>
      <c r="K206">
        <f t="shared" si="99"/>
        <v>2017</v>
      </c>
      <c r="M206" s="11">
        <f t="shared" si="100"/>
        <v>57328</v>
      </c>
      <c r="N206" s="11">
        <f t="shared" si="102"/>
        <v>2018</v>
      </c>
      <c r="O206" s="11">
        <f t="shared" si="101"/>
        <v>0</v>
      </c>
      <c r="P206" s="11">
        <f t="shared" si="103"/>
        <v>2017</v>
      </c>
      <c r="Q206" s="12"/>
      <c r="R206" s="12"/>
    </row>
    <row r="207" spans="1:18" x14ac:dyDescent="0.35">
      <c r="A207" t="str">
        <f t="shared" si="79"/>
        <v>VILLEGAS_6</v>
      </c>
      <c r="B207" t="s">
        <v>8</v>
      </c>
      <c r="C207">
        <v>6</v>
      </c>
      <c r="D207" s="11">
        <f t="shared" si="92"/>
        <v>16844.961000000018</v>
      </c>
      <c r="E207">
        <f t="shared" si="93"/>
        <v>2025</v>
      </c>
      <c r="F207" s="11">
        <f t="shared" si="94"/>
        <v>70943.463000000018</v>
      </c>
      <c r="G207">
        <f t="shared" si="95"/>
        <v>2025</v>
      </c>
      <c r="H207" s="11">
        <f t="shared" si="96"/>
        <v>0</v>
      </c>
      <c r="I207">
        <f t="shared" si="97"/>
        <v>2017</v>
      </c>
      <c r="J207" s="11">
        <f t="shared" si="98"/>
        <v>0</v>
      </c>
      <c r="K207">
        <f t="shared" si="99"/>
        <v>2017</v>
      </c>
      <c r="M207" s="11">
        <f t="shared" si="100"/>
        <v>58544</v>
      </c>
      <c r="N207" s="11">
        <f t="shared" si="102"/>
        <v>2018</v>
      </c>
      <c r="O207" s="11">
        <f t="shared" si="101"/>
        <v>0</v>
      </c>
      <c r="P207" s="11">
        <f t="shared" si="103"/>
        <v>2017</v>
      </c>
      <c r="Q207" s="12"/>
      <c r="R207" s="12"/>
    </row>
    <row r="208" spans="1:18" x14ac:dyDescent="0.35">
      <c r="A208" t="str">
        <f t="shared" si="79"/>
        <v>VILLEGAS_7</v>
      </c>
      <c r="B208" t="s">
        <v>8</v>
      </c>
      <c r="C208">
        <v>7</v>
      </c>
      <c r="D208" s="11">
        <f t="shared" si="92"/>
        <v>15890</v>
      </c>
      <c r="E208">
        <f t="shared" si="93"/>
        <v>2024</v>
      </c>
      <c r="F208" s="11">
        <f t="shared" si="94"/>
        <v>81622.639000000025</v>
      </c>
      <c r="G208">
        <f t="shared" si="95"/>
        <v>2025</v>
      </c>
      <c r="H208" s="11">
        <f t="shared" si="96"/>
        <v>0</v>
      </c>
      <c r="I208">
        <f t="shared" si="97"/>
        <v>2017</v>
      </c>
      <c r="J208" s="11">
        <f t="shared" si="98"/>
        <v>0</v>
      </c>
      <c r="K208">
        <f t="shared" si="99"/>
        <v>2017</v>
      </c>
      <c r="M208" s="11">
        <f t="shared" si="100"/>
        <v>64253</v>
      </c>
      <c r="N208" s="11">
        <f t="shared" si="102"/>
        <v>2024</v>
      </c>
      <c r="O208" s="11">
        <f t="shared" si="101"/>
        <v>0</v>
      </c>
      <c r="P208" s="11">
        <f t="shared" si="103"/>
        <v>2017</v>
      </c>
      <c r="Q208" s="12"/>
      <c r="R208" s="12"/>
    </row>
    <row r="209" spans="1:18" x14ac:dyDescent="0.35">
      <c r="A209" t="str">
        <f t="shared" si="79"/>
        <v>VILLEGAS_8</v>
      </c>
      <c r="B209" t="s">
        <v>8</v>
      </c>
      <c r="C209">
        <v>8</v>
      </c>
      <c r="D209" s="11">
        <f t="shared" si="92"/>
        <v>11732.646999999997</v>
      </c>
      <c r="E209">
        <f t="shared" si="93"/>
        <v>2025</v>
      </c>
      <c r="F209" s="11">
        <f t="shared" si="94"/>
        <v>93355.286000000022</v>
      </c>
      <c r="G209">
        <f t="shared" si="95"/>
        <v>2025</v>
      </c>
      <c r="H209" s="11">
        <f t="shared" si="96"/>
        <v>0</v>
      </c>
      <c r="I209">
        <f t="shared" si="97"/>
        <v>2017</v>
      </c>
      <c r="J209" s="11">
        <f t="shared" si="98"/>
        <v>0</v>
      </c>
      <c r="K209">
        <f t="shared" si="99"/>
        <v>2017</v>
      </c>
      <c r="M209" s="11">
        <f t="shared" si="100"/>
        <v>75562</v>
      </c>
      <c r="N209" s="11">
        <f t="shared" si="102"/>
        <v>2024</v>
      </c>
      <c r="O209" s="11">
        <f t="shared" si="101"/>
        <v>0</v>
      </c>
      <c r="P209" s="11">
        <f t="shared" si="103"/>
        <v>2017</v>
      </c>
      <c r="Q209" s="12"/>
      <c r="R209" s="12"/>
    </row>
    <row r="210" spans="1:18" x14ac:dyDescent="0.35">
      <c r="A210" t="str">
        <f t="shared" si="79"/>
        <v>VILLEGAS_9</v>
      </c>
      <c r="B210" t="s">
        <v>8</v>
      </c>
      <c r="C210">
        <v>9</v>
      </c>
      <c r="D210" s="11">
        <f t="shared" si="92"/>
        <v>62859</v>
      </c>
      <c r="E210">
        <f t="shared" si="93"/>
        <v>2018</v>
      </c>
      <c r="F210" s="11">
        <f t="shared" si="94"/>
        <v>98507.7</v>
      </c>
      <c r="G210">
        <f t="shared" si="95"/>
        <v>2025</v>
      </c>
      <c r="H210" s="11">
        <f t="shared" si="96"/>
        <v>0</v>
      </c>
      <c r="I210">
        <f t="shared" si="97"/>
        <v>2017</v>
      </c>
      <c r="J210" s="11">
        <f t="shared" si="98"/>
        <v>0</v>
      </c>
      <c r="K210">
        <f t="shared" si="99"/>
        <v>2017</v>
      </c>
      <c r="M210" s="11">
        <f t="shared" si="100"/>
        <v>79384</v>
      </c>
      <c r="N210" s="11">
        <f t="shared" si="102"/>
        <v>2024</v>
      </c>
      <c r="O210" s="11">
        <f t="shared" si="101"/>
        <v>0</v>
      </c>
      <c r="P210" s="11">
        <f t="shared" si="103"/>
        <v>2017</v>
      </c>
      <c r="Q210" s="12"/>
      <c r="R210" s="12"/>
    </row>
    <row r="211" spans="1:18" x14ac:dyDescent="0.35">
      <c r="A211" t="str">
        <f t="shared" si="79"/>
        <v>VILLEGAS_10</v>
      </c>
      <c r="B211" t="s">
        <v>8</v>
      </c>
      <c r="C211">
        <v>10</v>
      </c>
      <c r="D211" s="11">
        <f t="shared" si="92"/>
        <v>7862.9170000000304</v>
      </c>
      <c r="E211">
        <f t="shared" si="93"/>
        <v>2025</v>
      </c>
      <c r="F211" s="11">
        <f t="shared" si="94"/>
        <v>106370.61700000003</v>
      </c>
      <c r="G211">
        <f t="shared" si="95"/>
        <v>2025</v>
      </c>
      <c r="H211" s="11">
        <f t="shared" si="96"/>
        <v>0</v>
      </c>
      <c r="I211">
        <f t="shared" si="97"/>
        <v>2017</v>
      </c>
      <c r="J211" s="11">
        <f t="shared" si="98"/>
        <v>0</v>
      </c>
      <c r="K211">
        <f t="shared" si="99"/>
        <v>2017</v>
      </c>
      <c r="M211" s="11">
        <f t="shared" si="100"/>
        <v>81120</v>
      </c>
      <c r="N211" s="11">
        <f t="shared" si="102"/>
        <v>2024</v>
      </c>
      <c r="O211" s="11">
        <f t="shared" si="101"/>
        <v>0</v>
      </c>
      <c r="P211" s="11">
        <f t="shared" si="103"/>
        <v>2017</v>
      </c>
      <c r="Q211" s="12"/>
      <c r="R211" s="12"/>
    </row>
    <row r="212" spans="1:18" x14ac:dyDescent="0.35">
      <c r="A212" t="str">
        <f t="shared" si="79"/>
        <v>VILLEGAS_11</v>
      </c>
      <c r="B212" t="s">
        <v>8</v>
      </c>
      <c r="C212">
        <v>11</v>
      </c>
      <c r="D212" s="11">
        <f t="shared" si="92"/>
        <v>2720</v>
      </c>
      <c r="E212">
        <f t="shared" si="93"/>
        <v>2024</v>
      </c>
      <c r="F212" s="11">
        <f t="shared" si="94"/>
        <v>83840</v>
      </c>
      <c r="G212">
        <f t="shared" si="95"/>
        <v>2024</v>
      </c>
      <c r="H212" s="11">
        <f t="shared" si="96"/>
        <v>0</v>
      </c>
      <c r="I212">
        <f t="shared" si="97"/>
        <v>2017</v>
      </c>
      <c r="J212" s="11">
        <f t="shared" si="98"/>
        <v>0</v>
      </c>
      <c r="K212">
        <f t="shared" si="99"/>
        <v>2017</v>
      </c>
      <c r="M212" s="11">
        <f t="shared" si="100"/>
        <v>83840</v>
      </c>
      <c r="N212" s="11">
        <f t="shared" si="102"/>
        <v>2024</v>
      </c>
      <c r="O212" s="11">
        <f t="shared" si="101"/>
        <v>0</v>
      </c>
      <c r="P212" s="11">
        <f t="shared" si="103"/>
        <v>2017</v>
      </c>
      <c r="Q212" s="12"/>
      <c r="R212" s="12"/>
    </row>
    <row r="213" spans="1:18" x14ac:dyDescent="0.35">
      <c r="A213" t="str">
        <f t="shared" si="79"/>
        <v>VILLEGAS_12</v>
      </c>
      <c r="B213" t="s">
        <v>8</v>
      </c>
      <c r="C213">
        <v>12</v>
      </c>
      <c r="D213" s="11">
        <f t="shared" si="92"/>
        <v>7308</v>
      </c>
      <c r="E213">
        <f t="shared" si="93"/>
        <v>2024</v>
      </c>
      <c r="F213" s="11">
        <f t="shared" si="94"/>
        <v>91148</v>
      </c>
      <c r="G213">
        <f t="shared" si="95"/>
        <v>2024</v>
      </c>
      <c r="H213" s="11">
        <f t="shared" si="96"/>
        <v>0</v>
      </c>
      <c r="I213">
        <f t="shared" si="97"/>
        <v>2017</v>
      </c>
      <c r="J213" s="11">
        <f t="shared" si="98"/>
        <v>0</v>
      </c>
      <c r="K213">
        <f t="shared" si="99"/>
        <v>2017</v>
      </c>
      <c r="M213" s="11">
        <f t="shared" si="100"/>
        <v>91148</v>
      </c>
      <c r="N213" s="11">
        <f t="shared" si="102"/>
        <v>2024</v>
      </c>
      <c r="O213" s="11">
        <f t="shared" si="101"/>
        <v>0</v>
      </c>
      <c r="P213" s="11">
        <f t="shared" si="103"/>
        <v>2017</v>
      </c>
      <c r="Q213" s="12"/>
      <c r="R213" s="12"/>
    </row>
    <row r="214" spans="1:18" x14ac:dyDescent="0.35">
      <c r="A214" t="str">
        <f t="shared" si="79"/>
        <v>VICTORIA_1</v>
      </c>
      <c r="B214" t="s">
        <v>9</v>
      </c>
      <c r="C214">
        <v>1</v>
      </c>
      <c r="D214" s="11">
        <f t="shared" ref="D214:D225" si="104">+_xlfn.MAXIFS($BA$6:$BA$113,$AZ$6:$AZ$113,$C214)</f>
        <v>29205</v>
      </c>
      <c r="E214">
        <f t="shared" ref="E214:E225" si="105">+VLOOKUP(D214,$BA$6:$BE$113,5,FALSE)</f>
        <v>2019</v>
      </c>
      <c r="F214" s="11">
        <f t="shared" ref="F214:F225" si="106">+_xlfn.MAXIFS($BB$6:$BB$113,$AZ$6:$AZ$113,$C214)</f>
        <v>29205</v>
      </c>
      <c r="G214">
        <f t="shared" ref="G214:G225" si="107">+VLOOKUP(F214,$BB$6:$BE$113,4,FALSE)</f>
        <v>2019</v>
      </c>
      <c r="H214" s="11">
        <f t="shared" ref="H214:H225" si="108">+_xlfn.MAXIFS($BC$6:$BC$113,$AZ$6:$AZ$113,$C214)</f>
        <v>8225.1949999999979</v>
      </c>
      <c r="I214">
        <f t="shared" ref="I214:I225" si="109">+VLOOKUP(H214,$BC$6:$BE$113,3,FALSE)</f>
        <v>2019</v>
      </c>
      <c r="J214" s="11">
        <f t="shared" ref="J214:J225" si="110">+_xlfn.MAXIFS($BD$6:$BD$113,$AZ$6:$AZ$113,$C214)</f>
        <v>8225.1949999999979</v>
      </c>
      <c r="K214">
        <f t="shared" ref="K214:K225" si="111">+VLOOKUP(J214,$BD$6:$BE$113,2,FALSE)</f>
        <v>2019</v>
      </c>
      <c r="M214" s="11">
        <f t="shared" ref="M214:M225" si="112">+_xlfn.MAXIFS($BB$6:$BB$113,$D$6:$D$113,$C214,$BK$6:$BK$113,"&lt;2025")</f>
        <v>29205</v>
      </c>
      <c r="N214" s="11">
        <f>+VLOOKUP(M214,$BB$6:$BE$113,4,FALSE)</f>
        <v>2019</v>
      </c>
      <c r="O214" s="11">
        <f t="shared" ref="O214:O225" si="113">+_xlfn.MAXIFS($BD$6:$BD$113,$AZ$6:$AZ$113,$C214,$BK$6:$BK$113,"&lt;2025")</f>
        <v>8225.1949999999979</v>
      </c>
      <c r="P214" s="11">
        <f>+VLOOKUP(O214,$BD$6:$BE$113,2,FALSE)</f>
        <v>2019</v>
      </c>
      <c r="Q214" s="12"/>
      <c r="R214" s="12"/>
    </row>
    <row r="215" spans="1:18" x14ac:dyDescent="0.35">
      <c r="A215" t="str">
        <f t="shared" si="79"/>
        <v>VICTORIA_2</v>
      </c>
      <c r="B215" t="s">
        <v>9</v>
      </c>
      <c r="C215">
        <v>2</v>
      </c>
      <c r="D215" s="11">
        <f t="shared" si="104"/>
        <v>12158</v>
      </c>
      <c r="E215">
        <f t="shared" si="105"/>
        <v>2019</v>
      </c>
      <c r="F215" s="11">
        <f t="shared" si="106"/>
        <v>41363</v>
      </c>
      <c r="G215">
        <f t="shared" si="107"/>
        <v>2019</v>
      </c>
      <c r="H215" s="11">
        <f t="shared" si="108"/>
        <v>8139.6699999999983</v>
      </c>
      <c r="I215">
        <f t="shared" si="109"/>
        <v>2019</v>
      </c>
      <c r="J215" s="11">
        <f t="shared" si="110"/>
        <v>16364.864999999996</v>
      </c>
      <c r="K215">
        <f t="shared" si="111"/>
        <v>2019</v>
      </c>
      <c r="M215" s="11">
        <f t="shared" si="112"/>
        <v>41363</v>
      </c>
      <c r="N215" s="11">
        <f t="shared" ref="N215:N225" si="114">+VLOOKUP(M215,$BB$6:$BE$113,4,FALSE)</f>
        <v>2019</v>
      </c>
      <c r="O215" s="11">
        <f t="shared" si="113"/>
        <v>16364.864999999996</v>
      </c>
      <c r="P215" s="11">
        <f t="shared" ref="P215:P225" si="115">+VLOOKUP(O215,$BD$6:$BE$113,2,FALSE)</f>
        <v>2019</v>
      </c>
      <c r="Q215" s="12"/>
      <c r="R215" s="12"/>
    </row>
    <row r="216" spans="1:18" x14ac:dyDescent="0.35">
      <c r="A216" t="str">
        <f t="shared" si="79"/>
        <v>VICTORIA_3</v>
      </c>
      <c r="B216" t="s">
        <v>9</v>
      </c>
      <c r="C216">
        <v>3</v>
      </c>
      <c r="D216" s="11">
        <f t="shared" si="104"/>
        <v>18640</v>
      </c>
      <c r="E216">
        <f t="shared" si="105"/>
        <v>2020</v>
      </c>
      <c r="F216" s="11">
        <f t="shared" si="106"/>
        <v>54485</v>
      </c>
      <c r="G216">
        <f t="shared" si="107"/>
        <v>2019</v>
      </c>
      <c r="H216" s="11">
        <f t="shared" si="108"/>
        <v>11866.070000000002</v>
      </c>
      <c r="I216">
        <f t="shared" si="109"/>
        <v>2019</v>
      </c>
      <c r="J216" s="11">
        <f t="shared" si="110"/>
        <v>28230.934999999998</v>
      </c>
      <c r="K216">
        <f t="shared" si="111"/>
        <v>2019</v>
      </c>
      <c r="M216" s="11">
        <f t="shared" si="112"/>
        <v>54485</v>
      </c>
      <c r="N216" s="11">
        <f t="shared" si="114"/>
        <v>2019</v>
      </c>
      <c r="O216" s="11">
        <f t="shared" si="113"/>
        <v>28230.934999999998</v>
      </c>
      <c r="P216" s="11">
        <f t="shared" si="115"/>
        <v>2019</v>
      </c>
      <c r="Q216" s="12"/>
      <c r="R216" s="12"/>
    </row>
    <row r="217" spans="1:18" x14ac:dyDescent="0.35">
      <c r="A217" t="str">
        <f t="shared" si="79"/>
        <v>VICTORIA_4</v>
      </c>
      <c r="B217" t="s">
        <v>9</v>
      </c>
      <c r="C217">
        <v>4</v>
      </c>
      <c r="D217" s="11">
        <f t="shared" si="104"/>
        <v>9338</v>
      </c>
      <c r="E217">
        <f t="shared" si="105"/>
        <v>2021</v>
      </c>
      <c r="F217" s="11">
        <f t="shared" si="106"/>
        <v>61299</v>
      </c>
      <c r="G217">
        <f t="shared" si="107"/>
        <v>2019</v>
      </c>
      <c r="H217" s="11">
        <f t="shared" si="108"/>
        <v>6689.6580000000031</v>
      </c>
      <c r="I217">
        <f t="shared" si="109"/>
        <v>2019</v>
      </c>
      <c r="J217" s="11">
        <f t="shared" si="110"/>
        <v>34920.593000000001</v>
      </c>
      <c r="K217">
        <f t="shared" si="111"/>
        <v>2019</v>
      </c>
      <c r="M217" s="11">
        <f t="shared" si="112"/>
        <v>61299</v>
      </c>
      <c r="N217" s="11">
        <f t="shared" si="114"/>
        <v>2019</v>
      </c>
      <c r="O217" s="11">
        <f t="shared" si="113"/>
        <v>34920.593000000001</v>
      </c>
      <c r="P217" s="11">
        <f t="shared" si="115"/>
        <v>2019</v>
      </c>
      <c r="Q217" s="12"/>
      <c r="R217" s="12"/>
    </row>
    <row r="218" spans="1:18" x14ac:dyDescent="0.35">
      <c r="A218" t="str">
        <f t="shared" si="79"/>
        <v>VICTORIA_5</v>
      </c>
      <c r="B218" t="s">
        <v>9</v>
      </c>
      <c r="C218">
        <v>5</v>
      </c>
      <c r="D218" s="11">
        <f t="shared" si="104"/>
        <v>10320</v>
      </c>
      <c r="E218">
        <f t="shared" si="105"/>
        <v>2019</v>
      </c>
      <c r="F218" s="11">
        <f t="shared" si="106"/>
        <v>71619</v>
      </c>
      <c r="G218">
        <f t="shared" si="107"/>
        <v>2019</v>
      </c>
      <c r="H218" s="11">
        <f t="shared" si="108"/>
        <v>10463.240000000002</v>
      </c>
      <c r="I218">
        <f t="shared" si="109"/>
        <v>2018</v>
      </c>
      <c r="J218" s="11">
        <f t="shared" si="110"/>
        <v>43546.574500000002</v>
      </c>
      <c r="K218">
        <f t="shared" si="111"/>
        <v>2019</v>
      </c>
      <c r="M218" s="11">
        <f t="shared" si="112"/>
        <v>71619</v>
      </c>
      <c r="N218" s="11">
        <f t="shared" si="114"/>
        <v>2019</v>
      </c>
      <c r="O218" s="11">
        <f t="shared" si="113"/>
        <v>43546.574500000002</v>
      </c>
      <c r="P218" s="11">
        <f t="shared" si="115"/>
        <v>2019</v>
      </c>
      <c r="Q218" s="12"/>
      <c r="R218" s="12"/>
    </row>
    <row r="219" spans="1:18" x14ac:dyDescent="0.35">
      <c r="A219" t="str">
        <f t="shared" si="79"/>
        <v>VICTORIA_6</v>
      </c>
      <c r="B219" t="s">
        <v>9</v>
      </c>
      <c r="C219">
        <v>6</v>
      </c>
      <c r="D219" s="11">
        <f t="shared" si="104"/>
        <v>5003</v>
      </c>
      <c r="E219">
        <f t="shared" si="105"/>
        <v>2021</v>
      </c>
      <c r="F219" s="11">
        <f t="shared" si="106"/>
        <v>75753</v>
      </c>
      <c r="G219">
        <f t="shared" si="107"/>
        <v>2019</v>
      </c>
      <c r="H219" s="11">
        <f t="shared" si="108"/>
        <v>8047.6500000000015</v>
      </c>
      <c r="I219">
        <f t="shared" si="109"/>
        <v>2018</v>
      </c>
      <c r="J219" s="11">
        <f t="shared" si="110"/>
        <v>47301.8295</v>
      </c>
      <c r="K219">
        <f t="shared" si="111"/>
        <v>2019</v>
      </c>
      <c r="M219" s="11">
        <f t="shared" si="112"/>
        <v>75753</v>
      </c>
      <c r="N219" s="11">
        <f t="shared" si="114"/>
        <v>2019</v>
      </c>
      <c r="O219" s="11">
        <f t="shared" si="113"/>
        <v>47301.8295</v>
      </c>
      <c r="P219" s="11">
        <f t="shared" si="115"/>
        <v>2019</v>
      </c>
      <c r="Q219" s="12"/>
      <c r="R219" s="12"/>
    </row>
    <row r="220" spans="1:18" x14ac:dyDescent="0.35">
      <c r="A220" t="str">
        <f t="shared" si="79"/>
        <v>VICTORIA_7</v>
      </c>
      <c r="B220" t="s">
        <v>9</v>
      </c>
      <c r="C220">
        <v>7</v>
      </c>
      <c r="D220" s="11">
        <f t="shared" si="104"/>
        <v>3920</v>
      </c>
      <c r="E220">
        <f t="shared" si="105"/>
        <v>2018</v>
      </c>
      <c r="F220" s="11">
        <f t="shared" si="106"/>
        <v>78952</v>
      </c>
      <c r="G220">
        <f t="shared" si="107"/>
        <v>2019</v>
      </c>
      <c r="H220" s="11">
        <f t="shared" si="108"/>
        <v>10668.584999999999</v>
      </c>
      <c r="I220">
        <f t="shared" si="109"/>
        <v>2019</v>
      </c>
      <c r="J220" s="11">
        <f t="shared" si="110"/>
        <v>57970.414499999999</v>
      </c>
      <c r="K220">
        <f t="shared" si="111"/>
        <v>2019</v>
      </c>
      <c r="M220" s="11">
        <f t="shared" si="112"/>
        <v>78952</v>
      </c>
      <c r="N220" s="11">
        <f t="shared" si="114"/>
        <v>2019</v>
      </c>
      <c r="O220" s="11">
        <f t="shared" si="113"/>
        <v>57970.414499999999</v>
      </c>
      <c r="P220" s="11">
        <f t="shared" si="115"/>
        <v>2019</v>
      </c>
      <c r="Q220" s="12"/>
      <c r="R220" s="12"/>
    </row>
    <row r="221" spans="1:18" x14ac:dyDescent="0.35">
      <c r="A221" t="str">
        <f t="shared" si="79"/>
        <v>VICTORIA_8</v>
      </c>
      <c r="B221" t="s">
        <v>9</v>
      </c>
      <c r="C221">
        <v>8</v>
      </c>
      <c r="D221" s="11">
        <f t="shared" si="104"/>
        <v>2173</v>
      </c>
      <c r="E221">
        <f t="shared" si="105"/>
        <v>2018</v>
      </c>
      <c r="F221" s="11">
        <f t="shared" si="106"/>
        <v>80010</v>
      </c>
      <c r="G221">
        <f t="shared" si="107"/>
        <v>2019</v>
      </c>
      <c r="H221" s="11">
        <f t="shared" si="108"/>
        <v>4738.0950000000048</v>
      </c>
      <c r="I221">
        <f t="shared" si="109"/>
        <v>2021</v>
      </c>
      <c r="J221" s="11">
        <f t="shared" si="110"/>
        <v>59513.3845</v>
      </c>
      <c r="K221">
        <f t="shared" si="111"/>
        <v>2019</v>
      </c>
      <c r="M221" s="11">
        <f t="shared" si="112"/>
        <v>80010</v>
      </c>
      <c r="N221" s="11">
        <f t="shared" si="114"/>
        <v>2019</v>
      </c>
      <c r="O221" s="11">
        <f t="shared" si="113"/>
        <v>59513.3845</v>
      </c>
      <c r="P221" s="11">
        <f t="shared" si="115"/>
        <v>2019</v>
      </c>
      <c r="Q221" s="12"/>
      <c r="R221" s="12"/>
    </row>
    <row r="222" spans="1:18" x14ac:dyDescent="0.35">
      <c r="A222" t="str">
        <f t="shared" si="79"/>
        <v>VICTORIA_9</v>
      </c>
      <c r="B222" t="s">
        <v>9</v>
      </c>
      <c r="C222">
        <v>9</v>
      </c>
      <c r="D222" s="11">
        <f t="shared" si="104"/>
        <v>1940</v>
      </c>
      <c r="E222">
        <f t="shared" si="105"/>
        <v>2020</v>
      </c>
      <c r="F222" s="11">
        <f t="shared" si="106"/>
        <v>80010</v>
      </c>
      <c r="G222">
        <f t="shared" si="107"/>
        <v>2019</v>
      </c>
      <c r="H222" s="11">
        <f t="shared" si="108"/>
        <v>4630.0349999999999</v>
      </c>
      <c r="I222">
        <f t="shared" si="109"/>
        <v>2021</v>
      </c>
      <c r="J222" s="11">
        <f t="shared" si="110"/>
        <v>59733.019500000002</v>
      </c>
      <c r="K222">
        <f t="shared" si="111"/>
        <v>2019</v>
      </c>
      <c r="M222" s="11">
        <f t="shared" si="112"/>
        <v>80010</v>
      </c>
      <c r="N222" s="11">
        <f t="shared" si="114"/>
        <v>2019</v>
      </c>
      <c r="O222" s="11">
        <f t="shared" si="113"/>
        <v>59733.019500000002</v>
      </c>
      <c r="P222" s="11">
        <f t="shared" si="115"/>
        <v>2019</v>
      </c>
      <c r="Q222" s="12"/>
      <c r="R222" s="12"/>
    </row>
    <row r="223" spans="1:18" x14ac:dyDescent="0.35">
      <c r="A223" t="str">
        <f t="shared" si="79"/>
        <v>VICTORIA_10</v>
      </c>
      <c r="B223" t="s">
        <v>9</v>
      </c>
      <c r="C223">
        <v>10</v>
      </c>
      <c r="D223" s="11">
        <f t="shared" si="104"/>
        <v>1904.3020000000015</v>
      </c>
      <c r="E223">
        <f t="shared" si="105"/>
        <v>2025</v>
      </c>
      <c r="F223" s="11">
        <f t="shared" si="106"/>
        <v>81294</v>
      </c>
      <c r="G223">
        <f t="shared" si="107"/>
        <v>2019</v>
      </c>
      <c r="H223" s="11">
        <f t="shared" si="108"/>
        <v>3579.9650000000038</v>
      </c>
      <c r="I223">
        <f t="shared" si="109"/>
        <v>2021</v>
      </c>
      <c r="J223" s="11">
        <f t="shared" si="110"/>
        <v>60886.604500000001</v>
      </c>
      <c r="K223">
        <f t="shared" si="111"/>
        <v>2019</v>
      </c>
      <c r="M223" s="11">
        <f t="shared" si="112"/>
        <v>81294</v>
      </c>
      <c r="N223" s="11">
        <f t="shared" si="114"/>
        <v>2019</v>
      </c>
      <c r="O223" s="11">
        <f t="shared" si="113"/>
        <v>60886.604500000001</v>
      </c>
      <c r="P223" s="11">
        <f t="shared" si="115"/>
        <v>2019</v>
      </c>
      <c r="Q223" s="12"/>
      <c r="R223" s="12"/>
    </row>
    <row r="224" spans="1:18" x14ac:dyDescent="0.35">
      <c r="A224" t="str">
        <f t="shared" si="79"/>
        <v>VICTORIA_11</v>
      </c>
      <c r="B224" t="s">
        <v>9</v>
      </c>
      <c r="C224">
        <v>11</v>
      </c>
      <c r="D224" s="11">
        <f t="shared" si="104"/>
        <v>8215</v>
      </c>
      <c r="E224">
        <f t="shared" si="105"/>
        <v>2021</v>
      </c>
      <c r="F224" s="11">
        <f t="shared" si="106"/>
        <v>82819.000000000015</v>
      </c>
      <c r="G224">
        <f t="shared" si="107"/>
        <v>2019</v>
      </c>
      <c r="H224" s="11">
        <f t="shared" si="108"/>
        <v>6460.9499999999971</v>
      </c>
      <c r="I224">
        <f t="shared" si="109"/>
        <v>2019</v>
      </c>
      <c r="J224" s="11">
        <f t="shared" si="110"/>
        <v>67347.554499999998</v>
      </c>
      <c r="K224">
        <f t="shared" si="111"/>
        <v>2019</v>
      </c>
      <c r="M224" s="11">
        <f t="shared" si="112"/>
        <v>82819.000000000015</v>
      </c>
      <c r="N224" s="11">
        <f t="shared" si="114"/>
        <v>2019</v>
      </c>
      <c r="O224" s="11">
        <f t="shared" si="113"/>
        <v>67347.554499999998</v>
      </c>
      <c r="P224" s="11">
        <f t="shared" si="115"/>
        <v>2019</v>
      </c>
      <c r="Q224" s="12"/>
      <c r="R224" s="12"/>
    </row>
    <row r="225" spans="1:18" x14ac:dyDescent="0.35">
      <c r="A225" t="str">
        <f t="shared" si="79"/>
        <v>VICTORIA_12</v>
      </c>
      <c r="B225" t="s">
        <v>9</v>
      </c>
      <c r="C225">
        <v>12</v>
      </c>
      <c r="D225" s="11">
        <f t="shared" si="104"/>
        <v>6289</v>
      </c>
      <c r="E225">
        <f t="shared" si="105"/>
        <v>2021</v>
      </c>
      <c r="F225" s="11">
        <f t="shared" si="106"/>
        <v>86858</v>
      </c>
      <c r="G225">
        <f t="shared" si="107"/>
        <v>2019</v>
      </c>
      <c r="H225" s="11">
        <f t="shared" si="108"/>
        <v>3702.1399999999994</v>
      </c>
      <c r="I225">
        <f t="shared" si="109"/>
        <v>2018</v>
      </c>
      <c r="J225" s="11">
        <f t="shared" si="110"/>
        <v>70362.924499999994</v>
      </c>
      <c r="K225">
        <f t="shared" si="111"/>
        <v>2019</v>
      </c>
      <c r="M225" s="11">
        <f t="shared" si="112"/>
        <v>86858</v>
      </c>
      <c r="N225" s="11">
        <f t="shared" si="114"/>
        <v>2019</v>
      </c>
      <c r="O225" s="11">
        <f t="shared" si="113"/>
        <v>70362.924499999994</v>
      </c>
      <c r="P225" s="11">
        <f t="shared" si="115"/>
        <v>2019</v>
      </c>
      <c r="Q225" s="12"/>
      <c r="R225" s="12"/>
    </row>
  </sheetData>
  <mergeCells count="11">
    <mergeCell ref="AB4:AG4"/>
    <mergeCell ref="E1:G1"/>
    <mergeCell ref="D4:I4"/>
    <mergeCell ref="J4:O4"/>
    <mergeCell ref="P4:U4"/>
    <mergeCell ref="V4:AA4"/>
    <mergeCell ref="AH4:AM4"/>
    <mergeCell ref="AN4:AS4"/>
    <mergeCell ref="AT4:AY4"/>
    <mergeCell ref="AZ4:BE4"/>
    <mergeCell ref="BF4:BK4"/>
  </mergeCells>
  <conditionalFormatting sqref="E6:E113">
    <cfRule type="duplicateValues" dxfId="1" priority="2"/>
  </conditionalFormatting>
  <conditionalFormatting sqref="G6:G1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Toneladas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Lopez</dc:creator>
  <cp:lastModifiedBy>Judith Luna</cp:lastModifiedBy>
  <dcterms:created xsi:type="dcterms:W3CDTF">2025-11-14T15:02:48Z</dcterms:created>
  <dcterms:modified xsi:type="dcterms:W3CDTF">2025-11-26T18:48:21Z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973e85-9994-44d2-9354-6bc6be13ea5d_Enabled">
    <vt:lpwstr>true</vt:lpwstr>
  </property>
  <property fmtid="{D5CDD505-2E9C-101B-9397-08002B2CF9AE}" pid="3" name="MSIP_Label_1c973e85-9994-44d2-9354-6bc6be13ea5d_SetDate">
    <vt:lpwstr>2025-11-26T18:41:46Z</vt:lpwstr>
  </property>
  <property fmtid="{D5CDD505-2E9C-101B-9397-08002B2CF9AE}" pid="4" name="MSIP_Label_1c973e85-9994-44d2-9354-6bc6be13ea5d_Method">
    <vt:lpwstr>Standard</vt:lpwstr>
  </property>
  <property fmtid="{D5CDD505-2E9C-101B-9397-08002B2CF9AE}" pid="5" name="MSIP_Label_1c973e85-9994-44d2-9354-6bc6be13ea5d_Name">
    <vt:lpwstr>1c973e85-9994-44d2-9354-6bc6be13ea5d</vt:lpwstr>
  </property>
  <property fmtid="{D5CDD505-2E9C-101B-9397-08002B2CF9AE}" pid="6" name="MSIP_Label_1c973e85-9994-44d2-9354-6bc6be13ea5d_SiteId">
    <vt:lpwstr>01c999f0-c6f3-47dc-92cf-4f2d06feda2c</vt:lpwstr>
  </property>
  <property fmtid="{D5CDD505-2E9C-101B-9397-08002B2CF9AE}" pid="7" name="MSIP_Label_1c973e85-9994-44d2-9354-6bc6be13ea5d_ActionId">
    <vt:lpwstr>4d3a9281-93e6-42a9-8a8a-07efc649a556</vt:lpwstr>
  </property>
  <property fmtid="{D5CDD505-2E9C-101B-9397-08002B2CF9AE}" pid="8" name="MSIP_Label_1c973e85-9994-44d2-9354-6bc6be13ea5d_ContentBits">
    <vt:lpwstr>0</vt:lpwstr>
  </property>
  <property fmtid="{D5CDD505-2E9C-101B-9397-08002B2CF9AE}" pid="9" name="MSIP_Label_1c973e85-9994-44d2-9354-6bc6be13ea5d_Tag">
    <vt:lpwstr>10, 3, 0, 1</vt:lpwstr>
  </property>
</Properties>
</file>